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HTĐ\20. Báo cáo bảo hành\"/>
    </mc:Choice>
  </mc:AlternateContent>
  <xr:revisionPtr revIDLastSave="0" documentId="13_ncr:1_{592B4CD9-4BF3-4F1E-A275-5EDC7D17C887}" xr6:coauthVersionLast="47" xr6:coauthVersionMax="47" xr10:uidLastSave="{00000000-0000-0000-0000-000000000000}"/>
  <bookViews>
    <workbookView xWindow="-120" yWindow="-120" windowWidth="20730" windowHeight="11160" tabRatio="723" xr2:uid="{00000000-000D-0000-FFFF-FFFF00000000}"/>
  </bookViews>
  <sheets>
    <sheet name="Request BH (Kỹ thuật)" sheetId="5" r:id="rId1"/>
    <sheet name="HỒ SƠ BH_XD&amp;ME_BOQ PHÁT HÀNH" sheetId="4" r:id="rId2"/>
    <sheet name="DATA QUY ĐỔI BH" sheetId="6" r:id="rId3"/>
    <sheet name="Ho Co Ban Hành XD&amp;ME. Org" sheetId="1" state="hidden" r:id="rId4"/>
    <sheet name="Quy trình" sheetId="2" r:id="rId5"/>
    <sheet name="Các bước triển khai Master Data" sheetId="3" state="hidden" r:id="rId6"/>
  </sheets>
  <calcPr calcId="191029" refMode="R1C1"/>
</workbook>
</file>

<file path=xl/calcChain.xml><?xml version="1.0" encoding="utf-8"?>
<calcChain xmlns="http://schemas.openxmlformats.org/spreadsheetml/2006/main">
  <c r="K34" i="4" l="1"/>
  <c r="L34" i="4"/>
  <c r="J34" i="4"/>
  <c r="F34" i="6"/>
  <c r="D16" i="5" l="1"/>
  <c r="E16" i="5"/>
  <c r="F16" i="5"/>
  <c r="G16" i="5"/>
  <c r="D17" i="5"/>
  <c r="E17" i="5"/>
  <c r="F17" i="5"/>
  <c r="G17" i="5"/>
  <c r="D18" i="5"/>
  <c r="E18" i="5"/>
  <c r="F18" i="5"/>
  <c r="G18" i="5"/>
  <c r="D19" i="5"/>
  <c r="E19" i="5"/>
  <c r="F19" i="5"/>
  <c r="G19" i="5"/>
  <c r="D20" i="5"/>
  <c r="E20" i="5"/>
  <c r="F20" i="5"/>
  <c r="G20" i="5"/>
  <c r="D21" i="5"/>
  <c r="E21" i="5"/>
  <c r="F21" i="5"/>
  <c r="G21" i="5"/>
  <c r="D22" i="5"/>
  <c r="E22" i="5"/>
  <c r="F22" i="5"/>
  <c r="G22" i="5"/>
  <c r="D23" i="5"/>
  <c r="E23" i="5"/>
  <c r="F23" i="5"/>
  <c r="G23" i="5"/>
  <c r="D24" i="5"/>
  <c r="E24" i="5"/>
  <c r="F24" i="5"/>
  <c r="G24" i="5"/>
  <c r="D25" i="5"/>
  <c r="E25" i="5"/>
  <c r="F25" i="5"/>
  <c r="G25" i="5"/>
  <c r="D26" i="5"/>
  <c r="E26" i="5"/>
  <c r="F26" i="5"/>
  <c r="G26" i="5"/>
  <c r="D27" i="5"/>
  <c r="E27" i="5"/>
  <c r="F27" i="5"/>
  <c r="G27" i="5"/>
  <c r="D28" i="5"/>
  <c r="E28" i="5"/>
  <c r="F28" i="5"/>
  <c r="G28" i="5"/>
  <c r="D29" i="5"/>
  <c r="E29" i="5"/>
  <c r="F29" i="5"/>
  <c r="G29" i="5"/>
  <c r="D30" i="5"/>
  <c r="E30" i="5"/>
  <c r="F30" i="5"/>
  <c r="G30" i="5"/>
  <c r="D31" i="5"/>
  <c r="E31" i="5"/>
  <c r="F31" i="5"/>
  <c r="G31" i="5"/>
  <c r="D32" i="5"/>
  <c r="E32" i="5"/>
  <c r="F32" i="5"/>
  <c r="G32" i="5"/>
  <c r="D33" i="5"/>
  <c r="E33" i="5"/>
  <c r="F33" i="5"/>
  <c r="G33" i="5"/>
  <c r="D34" i="5"/>
  <c r="E34" i="5"/>
  <c r="F34" i="5"/>
  <c r="G34" i="5"/>
  <c r="D35" i="5"/>
  <c r="E35" i="5"/>
  <c r="F35" i="5"/>
  <c r="G35" i="5"/>
  <c r="D36" i="5"/>
  <c r="E36" i="5"/>
  <c r="F36" i="5"/>
  <c r="G36" i="5"/>
  <c r="D37" i="5"/>
  <c r="E37" i="5"/>
  <c r="F37" i="5"/>
  <c r="G37" i="5"/>
  <c r="D38" i="5"/>
  <c r="E38" i="5"/>
  <c r="F38" i="5"/>
  <c r="G38" i="5"/>
  <c r="D39" i="5"/>
  <c r="E39" i="5"/>
  <c r="F39" i="5"/>
  <c r="G39" i="5"/>
  <c r="D40" i="5"/>
  <c r="E40" i="5"/>
  <c r="F40" i="5"/>
  <c r="G40" i="5"/>
  <c r="D41" i="5"/>
  <c r="E41" i="5"/>
  <c r="F41" i="5"/>
  <c r="G41" i="5"/>
  <c r="D42" i="5"/>
  <c r="E42" i="5"/>
  <c r="F42" i="5"/>
  <c r="G42" i="5"/>
  <c r="D43" i="5"/>
  <c r="E43" i="5"/>
  <c r="F43" i="5"/>
  <c r="G43" i="5"/>
  <c r="D44" i="5"/>
  <c r="E44" i="5"/>
  <c r="F44" i="5"/>
  <c r="G44" i="5"/>
  <c r="D45" i="5"/>
  <c r="E45" i="5"/>
  <c r="F45" i="5"/>
  <c r="G45" i="5"/>
  <c r="D46" i="5"/>
  <c r="E46" i="5"/>
  <c r="F46" i="5"/>
  <c r="G46" i="5"/>
  <c r="D47" i="5"/>
  <c r="E47" i="5"/>
  <c r="F47" i="5"/>
  <c r="G47" i="5"/>
  <c r="D48" i="5"/>
  <c r="E48" i="5"/>
  <c r="F48" i="5"/>
  <c r="G48" i="5"/>
  <c r="D49" i="5"/>
  <c r="E49" i="5"/>
  <c r="F49" i="5"/>
  <c r="G49" i="5"/>
  <c r="D50" i="5"/>
  <c r="E50" i="5"/>
  <c r="F50" i="5"/>
  <c r="G50" i="5"/>
  <c r="D51" i="5"/>
  <c r="E51" i="5"/>
  <c r="F51" i="5"/>
  <c r="G51" i="5"/>
  <c r="D52" i="5"/>
  <c r="E52" i="5"/>
  <c r="F52" i="5"/>
  <c r="G52" i="5"/>
  <c r="D53" i="5"/>
  <c r="E53" i="5"/>
  <c r="F53" i="5"/>
  <c r="G53" i="5"/>
  <c r="D54" i="5"/>
  <c r="E54" i="5"/>
  <c r="F54" i="5"/>
  <c r="G54" i="5"/>
  <c r="D55" i="5"/>
  <c r="E55" i="5"/>
  <c r="F55" i="5"/>
  <c r="G55" i="5"/>
  <c r="D56" i="5"/>
  <c r="E56" i="5"/>
  <c r="F56" i="5"/>
  <c r="G56" i="5"/>
  <c r="D57" i="5"/>
  <c r="E57" i="5"/>
  <c r="F57" i="5"/>
  <c r="G57" i="5"/>
  <c r="D58" i="5"/>
  <c r="E58" i="5"/>
  <c r="F58" i="5"/>
  <c r="G58" i="5"/>
  <c r="D59" i="5"/>
  <c r="E59" i="5"/>
  <c r="F59" i="5"/>
  <c r="G59" i="5"/>
  <c r="D60" i="5"/>
  <c r="E60" i="5"/>
  <c r="F60" i="5"/>
  <c r="G60" i="5"/>
  <c r="D61" i="5"/>
  <c r="E61" i="5"/>
  <c r="F61" i="5"/>
  <c r="G61" i="5"/>
  <c r="D62" i="5"/>
  <c r="E62" i="5"/>
  <c r="F62" i="5"/>
  <c r="G62" i="5"/>
  <c r="D63" i="5"/>
  <c r="E63" i="5"/>
  <c r="F63" i="5"/>
  <c r="G63" i="5"/>
  <c r="D64" i="5"/>
  <c r="E64" i="5"/>
  <c r="F64" i="5"/>
  <c r="G64" i="5"/>
  <c r="D65" i="5"/>
  <c r="E65" i="5"/>
  <c r="F65" i="5"/>
  <c r="G65" i="5"/>
  <c r="D66" i="5"/>
  <c r="E66" i="5"/>
  <c r="F66" i="5"/>
  <c r="G66" i="5"/>
  <c r="D67" i="5"/>
  <c r="E67" i="5"/>
  <c r="F67" i="5"/>
  <c r="G67" i="5"/>
  <c r="J49" i="4"/>
  <c r="L49" i="4" s="1"/>
  <c r="J48" i="4"/>
  <c r="F49" i="6"/>
  <c r="F36" i="6"/>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5" i="4"/>
  <c r="J36" i="4"/>
  <c r="J37" i="4"/>
  <c r="J38" i="4"/>
  <c r="J39" i="4"/>
  <c r="J40" i="4"/>
  <c r="J41" i="4"/>
  <c r="J42" i="4"/>
  <c r="J43" i="4"/>
  <c r="J44" i="4"/>
  <c r="J45" i="4"/>
  <c r="J46" i="4"/>
  <c r="J47" i="4"/>
  <c r="J50" i="4"/>
  <c r="J51" i="4"/>
  <c r="J52" i="4"/>
  <c r="J53" i="4"/>
  <c r="J54" i="4"/>
  <c r="J55" i="4"/>
  <c r="J56" i="4"/>
  <c r="J57" i="4"/>
  <c r="J58" i="4"/>
  <c r="J59" i="4"/>
  <c r="J60" i="4"/>
  <c r="J61" i="4"/>
  <c r="J62" i="4"/>
  <c r="J63" i="4"/>
  <c r="J64" i="4"/>
  <c r="J65" i="4"/>
  <c r="J66" i="4"/>
  <c r="K49" i="4" l="1"/>
  <c r="Q5" i="5"/>
  <c r="J4" i="4"/>
  <c r="K4" i="4" s="1"/>
  <c r="F5" i="6"/>
  <c r="F6" i="6"/>
  <c r="F4" i="6"/>
  <c r="G15" i="5"/>
  <c r="G6" i="5"/>
  <c r="G7" i="5"/>
  <c r="G8" i="5"/>
  <c r="G9" i="5"/>
  <c r="G10" i="5"/>
  <c r="G11" i="5"/>
  <c r="G12" i="5"/>
  <c r="G13" i="5"/>
  <c r="G14" i="5"/>
  <c r="G5" i="5"/>
  <c r="F15" i="5"/>
  <c r="F6" i="5"/>
  <c r="F7" i="5"/>
  <c r="F8" i="5"/>
  <c r="F9" i="5"/>
  <c r="F10" i="5"/>
  <c r="F11" i="5"/>
  <c r="F12" i="5"/>
  <c r="F13" i="5"/>
  <c r="F14" i="5"/>
  <c r="F5" i="5"/>
  <c r="D6" i="5"/>
  <c r="D7" i="5"/>
  <c r="D8" i="5"/>
  <c r="D9" i="5"/>
  <c r="D10" i="5"/>
  <c r="D11" i="5"/>
  <c r="D12" i="5"/>
  <c r="D13" i="5"/>
  <c r="D14" i="5"/>
  <c r="D15" i="5"/>
  <c r="D5" i="5"/>
  <c r="L5" i="5"/>
  <c r="M5" i="5" s="1"/>
  <c r="L5" i="4"/>
  <c r="K6" i="4"/>
  <c r="K7" i="4"/>
  <c r="K8" i="4"/>
  <c r="K9" i="4"/>
  <c r="K10" i="4"/>
  <c r="K11" i="4"/>
  <c r="K12" i="4"/>
  <c r="L13" i="4"/>
  <c r="K14" i="4"/>
  <c r="K15" i="4"/>
  <c r="K16" i="4"/>
  <c r="L17" i="4"/>
  <c r="K18" i="4"/>
  <c r="K19" i="4"/>
  <c r="L20" i="4"/>
  <c r="L21" i="4"/>
  <c r="K22" i="4"/>
  <c r="K23" i="4"/>
  <c r="K24" i="4"/>
  <c r="L25" i="4"/>
  <c r="K26" i="4"/>
  <c r="K27" i="4"/>
  <c r="K28" i="4"/>
  <c r="L29" i="4"/>
  <c r="K30" i="4"/>
  <c r="K31" i="4"/>
  <c r="K32" i="4"/>
  <c r="L33" i="4"/>
  <c r="K35" i="4"/>
  <c r="K36" i="4"/>
  <c r="L37" i="4"/>
  <c r="L38" i="4"/>
  <c r="K39" i="4"/>
  <c r="K40" i="4"/>
  <c r="K41" i="4"/>
  <c r="L42" i="4"/>
  <c r="K43" i="4"/>
  <c r="K44" i="4"/>
  <c r="K45" i="4"/>
  <c r="L46" i="4"/>
  <c r="K47" i="4"/>
  <c r="K48" i="4"/>
  <c r="K50" i="4"/>
  <c r="K51" i="4"/>
  <c r="K52" i="4"/>
  <c r="L53" i="4"/>
  <c r="K54" i="4"/>
  <c r="K55" i="4"/>
  <c r="K56" i="4"/>
  <c r="K57" i="4"/>
  <c r="K58" i="4"/>
  <c r="K59" i="4"/>
  <c r="K60" i="4"/>
  <c r="L61" i="4"/>
  <c r="K62" i="4"/>
  <c r="K63" i="4"/>
  <c r="K64" i="4"/>
  <c r="L65" i="4"/>
  <c r="K66" i="4"/>
  <c r="F66" i="6"/>
  <c r="F65" i="6"/>
  <c r="F64" i="6"/>
  <c r="F63" i="6"/>
  <c r="F62" i="6"/>
  <c r="F61" i="6"/>
  <c r="F60" i="6"/>
  <c r="F59" i="6"/>
  <c r="F58" i="6"/>
  <c r="F57" i="6"/>
  <c r="F56" i="6"/>
  <c r="F55" i="6"/>
  <c r="F54" i="6"/>
  <c r="F53" i="6"/>
  <c r="F52" i="6"/>
  <c r="F51" i="6"/>
  <c r="F50" i="6"/>
  <c r="F48" i="6"/>
  <c r="F47" i="6"/>
  <c r="F46" i="6"/>
  <c r="F45" i="6"/>
  <c r="F44" i="6"/>
  <c r="F43" i="6"/>
  <c r="F42" i="6"/>
  <c r="F41" i="6"/>
  <c r="F40" i="6"/>
  <c r="F39" i="6"/>
  <c r="F38" i="6"/>
  <c r="F37" i="6"/>
  <c r="F35" i="6"/>
  <c r="F33" i="6"/>
  <c r="F32" i="6"/>
  <c r="F31" i="6"/>
  <c r="F30" i="6"/>
  <c r="F29" i="6"/>
  <c r="F28" i="6"/>
  <c r="F27" i="6"/>
  <c r="F26" i="6"/>
  <c r="F25" i="6"/>
  <c r="F24" i="6"/>
  <c r="F23" i="6"/>
  <c r="F22" i="6"/>
  <c r="F21" i="6"/>
  <c r="F20" i="6"/>
  <c r="F19" i="6"/>
  <c r="F18" i="6"/>
  <c r="F17" i="6"/>
  <c r="F16" i="6"/>
  <c r="F15" i="6"/>
  <c r="F14" i="6"/>
  <c r="F13" i="6"/>
  <c r="F12" i="6"/>
  <c r="F11" i="6"/>
  <c r="L13" i="5" s="1"/>
  <c r="M13" i="5" s="1"/>
  <c r="F10" i="6"/>
  <c r="F9" i="6"/>
  <c r="F8" i="6"/>
  <c r="F7" i="6"/>
  <c r="L6" i="5"/>
  <c r="N6" i="5" s="1"/>
  <c r="O6" i="5" s="1"/>
  <c r="Q6" i="5"/>
  <c r="Q7" i="5"/>
  <c r="Q8" i="5"/>
  <c r="Q9" i="5"/>
  <c r="Q10" i="5"/>
  <c r="Q11" i="5"/>
  <c r="Q12" i="5"/>
  <c r="Q13" i="5"/>
  <c r="L10" i="5"/>
  <c r="M10" i="5" s="1"/>
  <c r="L16" i="5"/>
  <c r="M16" i="5" s="1"/>
  <c r="L17" i="5"/>
  <c r="M17" i="5" s="1"/>
  <c r="L18" i="5"/>
  <c r="M18" i="5" s="1"/>
  <c r="L19" i="5"/>
  <c r="N19" i="5" s="1"/>
  <c r="O19" i="5" s="1"/>
  <c r="L20" i="5"/>
  <c r="N20" i="5" s="1"/>
  <c r="O20" i="5" s="1"/>
  <c r="L21" i="5"/>
  <c r="M21" i="5" s="1"/>
  <c r="L22" i="5"/>
  <c r="N22" i="5" s="1"/>
  <c r="O22" i="5" s="1"/>
  <c r="L23" i="5"/>
  <c r="N23" i="5" s="1"/>
  <c r="O23" i="5" s="1"/>
  <c r="L24" i="5"/>
  <c r="M24" i="5" s="1"/>
  <c r="L25" i="5"/>
  <c r="M25" i="5" s="1"/>
  <c r="L26" i="5"/>
  <c r="M26" i="5" s="1"/>
  <c r="L27" i="5"/>
  <c r="N27" i="5" s="1"/>
  <c r="O27" i="5" s="1"/>
  <c r="L28" i="5"/>
  <c r="M28" i="5" s="1"/>
  <c r="L29" i="5"/>
  <c r="M29" i="5" s="1"/>
  <c r="L30" i="5"/>
  <c r="N30" i="5" s="1"/>
  <c r="O30" i="5" s="1"/>
  <c r="L31" i="5"/>
  <c r="N31" i="5" s="1"/>
  <c r="O31" i="5" s="1"/>
  <c r="L32" i="5"/>
  <c r="M32" i="5" s="1"/>
  <c r="L33" i="5"/>
  <c r="M33" i="5" s="1"/>
  <c r="L34" i="5"/>
  <c r="M34" i="5" s="1"/>
  <c r="L35" i="5"/>
  <c r="M35" i="5" s="1"/>
  <c r="L36" i="5"/>
  <c r="N36" i="5" s="1"/>
  <c r="O36" i="5" s="1"/>
  <c r="L37" i="5"/>
  <c r="M37" i="5" s="1"/>
  <c r="L38" i="5"/>
  <c r="N38" i="5" s="1"/>
  <c r="O38" i="5" s="1"/>
  <c r="L39" i="5"/>
  <c r="N39" i="5" s="1"/>
  <c r="O39" i="5" s="1"/>
  <c r="L40" i="5"/>
  <c r="M40" i="5" s="1"/>
  <c r="L41" i="5"/>
  <c r="M41" i="5" s="1"/>
  <c r="L42" i="5"/>
  <c r="M42" i="5" s="1"/>
  <c r="L43" i="5"/>
  <c r="N43" i="5" s="1"/>
  <c r="O43" i="5" s="1"/>
  <c r="L44" i="5"/>
  <c r="M44" i="5" s="1"/>
  <c r="L45" i="5"/>
  <c r="M45" i="5" s="1"/>
  <c r="L46" i="5"/>
  <c r="N46" i="5" s="1"/>
  <c r="O46" i="5" s="1"/>
  <c r="L47" i="5"/>
  <c r="N47" i="5" s="1"/>
  <c r="O47" i="5" s="1"/>
  <c r="L48" i="5"/>
  <c r="M48" i="5" s="1"/>
  <c r="L49" i="5"/>
  <c r="M49" i="5" s="1"/>
  <c r="L50" i="5"/>
  <c r="M50" i="5" s="1"/>
  <c r="L51" i="5"/>
  <c r="N51" i="5" s="1"/>
  <c r="O51" i="5" s="1"/>
  <c r="L52" i="5"/>
  <c r="N52" i="5" s="1"/>
  <c r="O52" i="5" s="1"/>
  <c r="L53" i="5"/>
  <c r="M53" i="5" s="1"/>
  <c r="L54" i="5"/>
  <c r="N54" i="5" s="1"/>
  <c r="O54" i="5" s="1"/>
  <c r="L55" i="5"/>
  <c r="N55" i="5" s="1"/>
  <c r="O55" i="5" s="1"/>
  <c r="L56" i="5"/>
  <c r="M56" i="5" s="1"/>
  <c r="L57" i="5"/>
  <c r="M57" i="5" s="1"/>
  <c r="L58" i="5"/>
  <c r="M58" i="5" s="1"/>
  <c r="L59" i="5"/>
  <c r="N59" i="5" s="1"/>
  <c r="O59" i="5" s="1"/>
  <c r="L60" i="5"/>
  <c r="M60" i="5" s="1"/>
  <c r="L61" i="5"/>
  <c r="M61" i="5" s="1"/>
  <c r="L62" i="5"/>
  <c r="N62" i="5" s="1"/>
  <c r="O62" i="5" s="1"/>
  <c r="L63" i="5"/>
  <c r="N63" i="5" s="1"/>
  <c r="O63" i="5" s="1"/>
  <c r="L64" i="5"/>
  <c r="M64" i="5" s="1"/>
  <c r="L65" i="5"/>
  <c r="M65" i="5" s="1"/>
  <c r="L66" i="5"/>
  <c r="M66" i="5" s="1"/>
  <c r="L67" i="5"/>
  <c r="N67" i="5" s="1"/>
  <c r="O67" i="5" s="1"/>
  <c r="E6" i="5"/>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L9" i="5" l="1"/>
  <c r="M9" i="5" s="1"/>
  <c r="L11" i="5"/>
  <c r="N11" i="5" s="1"/>
  <c r="O11" i="5" s="1"/>
  <c r="L24" i="4"/>
  <c r="K65" i="4"/>
  <c r="E5" i="5"/>
  <c r="K42" i="4"/>
  <c r="K25" i="4"/>
  <c r="L41" i="4"/>
  <c r="K17" i="4"/>
  <c r="E13" i="5"/>
  <c r="E12" i="5"/>
  <c r="L45" i="4"/>
  <c r="L64" i="4"/>
  <c r="L16" i="4"/>
  <c r="E11" i="5"/>
  <c r="L57" i="4"/>
  <c r="L8" i="4"/>
  <c r="E10" i="5"/>
  <c r="L56" i="4"/>
  <c r="E9" i="5"/>
  <c r="K21" i="4"/>
  <c r="K37" i="4"/>
  <c r="L12" i="4"/>
  <c r="K53" i="4"/>
  <c r="K33" i="4"/>
  <c r="L52" i="4"/>
  <c r="L32" i="4"/>
  <c r="L9" i="4"/>
  <c r="E8" i="5"/>
  <c r="K46" i="4"/>
  <c r="K20" i="4"/>
  <c r="L60" i="4"/>
  <c r="K38" i="4"/>
  <c r="K13" i="4"/>
  <c r="K29" i="4"/>
  <c r="L28" i="4"/>
  <c r="E15" i="5"/>
  <c r="E7" i="5"/>
  <c r="K61" i="4"/>
  <c r="K5" i="4"/>
  <c r="E14" i="5"/>
  <c r="L4" i="4"/>
  <c r="L59" i="4"/>
  <c r="L51" i="4"/>
  <c r="L44" i="4"/>
  <c r="L36" i="4"/>
  <c r="L27" i="4"/>
  <c r="L19" i="4"/>
  <c r="L11" i="4"/>
  <c r="L66" i="4"/>
  <c r="L58" i="4"/>
  <c r="L50" i="4"/>
  <c r="L43" i="4"/>
  <c r="L35" i="4"/>
  <c r="L26" i="4"/>
  <c r="L18" i="4"/>
  <c r="L10" i="4"/>
  <c r="L63" i="4"/>
  <c r="L55" i="4"/>
  <c r="L48" i="4"/>
  <c r="L40" i="4"/>
  <c r="L31" i="4"/>
  <c r="L23" i="4"/>
  <c r="L15" i="4"/>
  <c r="L7" i="4"/>
  <c r="L62" i="4"/>
  <c r="L54" i="4"/>
  <c r="L47" i="4"/>
  <c r="L39" i="4"/>
  <c r="L30" i="4"/>
  <c r="L22" i="4"/>
  <c r="L14" i="4"/>
  <c r="L6" i="4"/>
  <c r="L14" i="5"/>
  <c r="N14" i="5" s="1"/>
  <c r="O14" i="5" s="1"/>
  <c r="N5" i="5"/>
  <c r="O5" i="5" s="1"/>
  <c r="L12" i="5"/>
  <c r="M12" i="5" s="1"/>
  <c r="L15" i="5"/>
  <c r="N15" i="5" s="1"/>
  <c r="O15" i="5" s="1"/>
  <c r="L8" i="5"/>
  <c r="M8" i="5" s="1"/>
  <c r="L7" i="5"/>
  <c r="N7" i="5" s="1"/>
  <c r="O7" i="5" s="1"/>
  <c r="M27" i="5"/>
  <c r="N50" i="5"/>
  <c r="O50" i="5" s="1"/>
  <c r="M67" i="5"/>
  <c r="M20" i="5"/>
  <c r="N42" i="5"/>
  <c r="O42" i="5" s="1"/>
  <c r="M59" i="5"/>
  <c r="M19" i="5"/>
  <c r="N35" i="5"/>
  <c r="O35" i="5" s="1"/>
  <c r="M52" i="5"/>
  <c r="N34" i="5"/>
  <c r="O34" i="5" s="1"/>
  <c r="M51" i="5"/>
  <c r="N26" i="5"/>
  <c r="O26" i="5" s="1"/>
  <c r="M43" i="5"/>
  <c r="N66" i="5"/>
  <c r="O66" i="5" s="1"/>
  <c r="M36" i="5"/>
  <c r="N58" i="5"/>
  <c r="O58" i="5" s="1"/>
  <c r="N18" i="5"/>
  <c r="O18" i="5" s="1"/>
  <c r="N10" i="5"/>
  <c r="O10" i="5" s="1"/>
  <c r="M54" i="5"/>
  <c r="M38" i="5"/>
  <c r="M22" i="5"/>
  <c r="M6" i="5"/>
  <c r="N53" i="5"/>
  <c r="O53" i="5" s="1"/>
  <c r="N37" i="5"/>
  <c r="O37" i="5" s="1"/>
  <c r="N21" i="5"/>
  <c r="O21" i="5" s="1"/>
  <c r="M62" i="5"/>
  <c r="M46" i="5"/>
  <c r="M30" i="5"/>
  <c r="N61" i="5"/>
  <c r="O61" i="5" s="1"/>
  <c r="N45" i="5"/>
  <c r="O45" i="5" s="1"/>
  <c r="N29" i="5"/>
  <c r="O29" i="5" s="1"/>
  <c r="N13" i="5"/>
  <c r="O13" i="5" s="1"/>
  <c r="N60" i="5"/>
  <c r="O60" i="5" s="1"/>
  <c r="N44" i="5"/>
  <c r="O44" i="5" s="1"/>
  <c r="N28" i="5"/>
  <c r="O28" i="5" s="1"/>
  <c r="M63" i="5"/>
  <c r="M55" i="5"/>
  <c r="M47" i="5"/>
  <c r="M39" i="5"/>
  <c r="M31" i="5"/>
  <c r="M23" i="5"/>
  <c r="N65" i="5"/>
  <c r="O65" i="5" s="1"/>
  <c r="N57" i="5"/>
  <c r="O57" i="5" s="1"/>
  <c r="N49" i="5"/>
  <c r="O49" i="5" s="1"/>
  <c r="N41" i="5"/>
  <c r="O41" i="5" s="1"/>
  <c r="N33" i="5"/>
  <c r="O33" i="5" s="1"/>
  <c r="N25" i="5"/>
  <c r="O25" i="5" s="1"/>
  <c r="N17" i="5"/>
  <c r="O17" i="5" s="1"/>
  <c r="N9" i="5"/>
  <c r="O9" i="5" s="1"/>
  <c r="N64" i="5"/>
  <c r="O64" i="5" s="1"/>
  <c r="N56" i="5"/>
  <c r="O56" i="5" s="1"/>
  <c r="N48" i="5"/>
  <c r="O48" i="5" s="1"/>
  <c r="N40" i="5"/>
  <c r="O40" i="5" s="1"/>
  <c r="N32" i="5"/>
  <c r="O32" i="5" s="1"/>
  <c r="N24" i="5"/>
  <c r="O24" i="5" s="1"/>
  <c r="N16" i="5"/>
  <c r="O16" i="5" s="1"/>
  <c r="M11" i="5" l="1"/>
  <c r="M14" i="5"/>
  <c r="N12" i="5"/>
  <c r="O12" i="5" s="1"/>
  <c r="N8" i="5"/>
  <c r="O8" i="5" s="1"/>
  <c r="M7" i="5"/>
  <c r="M15" i="5"/>
</calcChain>
</file>

<file path=xl/sharedStrings.xml><?xml version="1.0" encoding="utf-8"?>
<sst xmlns="http://schemas.openxmlformats.org/spreadsheetml/2006/main" count="1829" uniqueCount="595">
  <si>
    <t>HỒ SƠ CƠ BẢN HÀNH XD&amp;ME - ĐỐI SOÁT BOQ &amp; MASTER REASON CODE (149 DÒNG CHI TIẾT)</t>
  </si>
  <si>
    <t>STT</t>
  </si>
  <si>
    <t>Mã CH</t>
  </si>
  <si>
    <t>Tên CH</t>
  </si>
  <si>
    <t>Ngày KT</t>
  </si>
  <si>
    <t>Hạng mục chi tiết theo BOQ giao việc NT xây mới/Cải tạo
(Tên hạng mục chi tiết theo đúng BOQ)</t>
  </si>
  <si>
    <t>P.XD</t>
  </si>
  <si>
    <t>Tên nhóm đầu việc trong HS bảo hành</t>
  </si>
  <si>
    <t>2CBA</t>
  </si>
  <si>
    <t>WM+ 158 Vân Thọ, Mỹ Đức, Hà Nội</t>
  </si>
  <si>
    <t>Đập phá nền, hạ nền bê tông</t>
  </si>
  <si>
    <t>MBXDA0100001</t>
  </si>
  <si>
    <t>Nhóm Tháo dỡ &amp; Đập phá</t>
  </si>
  <si>
    <t>Hạng mục tháo dỡ mặt bằng</t>
  </si>
  <si>
    <t>Cải tạo kết cấu / Tháo dỡ</t>
  </si>
  <si>
    <t>Đập phá tháo dỡ kết cấu xây gạch (Kiểm tra kết cấu kỹ trước khi tháo dỡ
NT Trình biện pháp gửi GS và BQLXD pehe duyệt)</t>
  </si>
  <si>
    <t>MBXDA0100002</t>
  </si>
  <si>
    <t>Đục cắt lớp vữa trát tường để xử lý theo biện pháp</t>
  </si>
  <si>
    <t>MBXDA0100003</t>
  </si>
  <si>
    <t>Cắt định vị tường trước khi phá dỡ (tránh làm hỏng phần tường giữ lại) sử dụng máy cắt cầm tay</t>
  </si>
  <si>
    <t>MBXDA0100004</t>
  </si>
  <si>
    <t>Đục phá lớp gạch ốp tường + vận chuyển ra khỏi công trường</t>
  </si>
  <si>
    <t>MBXDA0100005</t>
  </si>
  <si>
    <t>Nhóm Gạch ốp lát &amp; Nền sàn</t>
  </si>
  <si>
    <t>Hạng mục gạch ốp lát &amp; nền sàn</t>
  </si>
  <si>
    <t>Gạch vỡ / Lún nứt nền / Sàn đọng nước</t>
  </si>
  <si>
    <t>Đục phá lớp gạch lót sàn + vận chuyển ra khỏi công trường</t>
  </si>
  <si>
    <t>MBXDA0100006</t>
  </si>
  <si>
    <t>Nhóm Sơn bả &amp; Hoàn thiện</t>
  </si>
  <si>
    <t>Hạng mục sơn bả hoàn thiện</t>
  </si>
  <si>
    <t>Bong tróc sơn / Ẩm mốc tường</t>
  </si>
  <si>
    <t>Đục phá lớp gạch ốp lát tường, sàn + lớp vữa ốp lát (không bao gồm vận chuyển)</t>
  </si>
  <si>
    <t>MBXDA0100007</t>
  </si>
  <si>
    <t>Đục phá lớp gạch ốp lát tường, sàn lớp keo dán+ lớp vữa ốp lát (không bao gồm vận chuyển)</t>
  </si>
  <si>
    <t>MBXDA0100008</t>
  </si>
  <si>
    <t>Tháo dỡ vách thạch cao và khung nhôm chìm</t>
  </si>
  <si>
    <t>MBXDA0100009</t>
  </si>
  <si>
    <t>Tháo dỡ trần thạch cao khung và khung nhôm chìm</t>
  </si>
  <si>
    <t>MBXDA0100010</t>
  </si>
  <si>
    <t>Tháo dỡ trần nhựa, trần xốp</t>
  </si>
  <si>
    <t>MBXDA0100011</t>
  </si>
  <si>
    <t>Tháo dỡ vách panel (Nhân công)</t>
  </si>
  <si>
    <t>MBXDA0100012</t>
  </si>
  <si>
    <t>Tháo dỡ cửa kính, vách kính.</t>
  </si>
  <si>
    <t>MBXDA0100013</t>
  </si>
  <si>
    <t>Tháo dỡ gương ốp cột, tường</t>
  </si>
  <si>
    <t>MBXDA0100014</t>
  </si>
  <si>
    <t>Tháo dỡ các liệu ( decal, simili, foam…) dán tường/cột, lót sàn.</t>
  </si>
  <si>
    <t>MBXDA0100015</t>
  </si>
  <si>
    <t>Bóc dỡ sàn gỗ công nghiệp , gỗ ốp cột, tường</t>
  </si>
  <si>
    <t>MBXDA0100016</t>
  </si>
  <si>
    <t>Tháo dỡ vách Aluminium</t>
  </si>
  <si>
    <t>MBXDA0100017</t>
  </si>
  <si>
    <t>Tháo dỡ biển hiệu khung sắt bạt hiflet</t>
  </si>
  <si>
    <t>MBXDA0100018</t>
  </si>
  <si>
    <t>Vệ sinh đánh rỉ cửa sắt kéo</t>
  </si>
  <si>
    <t>MBXDA0100019</t>
  </si>
  <si>
    <t>Tháo dỡ cửa sắt trả chủ nhà</t>
  </si>
  <si>
    <t>MBXDA0100020</t>
  </si>
  <si>
    <t>Tháo dỡ tủ âm tường, tủ gỗ KT: 3100x600x2500mm</t>
  </si>
  <si>
    <t>MBXDA0100021</t>
  </si>
  <si>
    <t>Tháo dỡ tủ âm tường, tủ gỗ KT: 2850x600x2500mm</t>
  </si>
  <si>
    <t>MBXDA0100022</t>
  </si>
  <si>
    <t>Tháo dỡ tủ bếp, tủ gỗ treo tường</t>
  </si>
  <si>
    <t>MBXDA0100023</t>
  </si>
  <si>
    <t>Tháo dỡ mặt bàn bếp, mặt đá granit</t>
  </si>
  <si>
    <t>MBXDA0100024</t>
  </si>
  <si>
    <t>Tháo dỡ bàn bếp Inox</t>
  </si>
  <si>
    <t>MBXDA0100025</t>
  </si>
  <si>
    <t>Tháo dỡ giá kệ (Tháo tận dụng)</t>
  </si>
  <si>
    <t>MBXDA0100026</t>
  </si>
  <si>
    <t>Tháo dỡ cửa gỗ</t>
  </si>
  <si>
    <t>MBXDA0100027</t>
  </si>
  <si>
    <t>Tháo dỡ cửa nhựa</t>
  </si>
  <si>
    <t>MBXDA0100028</t>
  </si>
  <si>
    <t>Tháo dỡ cửa nhôm kính và lắp lại</t>
  </si>
  <si>
    <t>MBXDA0100029</t>
  </si>
  <si>
    <t>Tháo dỡ và lắp dựng cửa cuốn đảo chiều cửa cuốn (bao gồm cả giá đỡ thép V5x1.4)</t>
  </si>
  <si>
    <t>MBXDA0100030</t>
  </si>
  <si>
    <t>Tháo dỡ cửa cuốn điện và mô tơ cửa để tận dụng</t>
  </si>
  <si>
    <t>MBXDA0100031</t>
  </si>
  <si>
    <t>Tháo dỡ Rèm hiện trạng</t>
  </si>
  <si>
    <t>MBXDA0100032</t>
  </si>
  <si>
    <t>Phá dỡ, tháo dỡ lan can gỗ, sắt, lan can con tiện sứ</t>
  </si>
  <si>
    <t>MBXDA0100033</t>
  </si>
  <si>
    <t>Đập phá tháo dỡ kết cấu thép (Biện pháp thi công thủ công)</t>
  </si>
  <si>
    <t>MBXDA0100034</t>
  </si>
  <si>
    <t>Tháo dỡ tôn cũ và vận chuyển ra khỏi công trường</t>
  </si>
  <si>
    <t>MBXDA0100035</t>
  </si>
  <si>
    <t>Tháo dỡ mái Proxi măng vận chuyển ra khỏi công trường (Tháo tấm Pro + xà gồ gỗ chuyển ra khỏi công trường)</t>
  </si>
  <si>
    <t>MBXDA0100036</t>
  </si>
  <si>
    <t>Tháo dỡ mái hiên di động, bạt che, dây cáp</t>
  </si>
  <si>
    <t>MBXDA0100037</t>
  </si>
  <si>
    <t>Tháo dỡ quạt trần cũ</t>
  </si>
  <si>
    <t>MBXDA0100038</t>
  </si>
  <si>
    <t>Tháo dỡ xí bệt/bồn cầu và lắp đặt ở vị trí mới</t>
  </si>
  <si>
    <t>MBXDA0100039</t>
  </si>
  <si>
    <t>Tháo dỡ lavabo và lắp đặt ở vị trí mới</t>
  </si>
  <si>
    <t>MBXDA0100040</t>
  </si>
  <si>
    <t>Tháo dỡ xí bệt/bồn cầu + vận chuyển ra khỏi công trường</t>
  </si>
  <si>
    <t>MBXDA0100041</t>
  </si>
  <si>
    <t>Tháo dỡ lavabo + vận chuyển ra khỏi công trường</t>
  </si>
  <si>
    <t>MBXDA0100042</t>
  </si>
  <si>
    <t>Tháo dỡ máng cáp (Máng sắt 5x10cm)</t>
  </si>
  <si>
    <t>MBXDA0100043</t>
  </si>
  <si>
    <t>Tháo dỡ máng nước hiện trạng mặt tiền</t>
  </si>
  <si>
    <t>MBXDA0100044</t>
  </si>
  <si>
    <t>Tháo dỡ louver che cục nóng</t>
  </si>
  <si>
    <t>MBXDA0100045</t>
  </si>
  <si>
    <t>Tháo dỡ miệng gió 600x600</t>
  </si>
  <si>
    <t>MBXDA0100046</t>
  </si>
  <si>
    <t>Tháo dỡ đường điện cũ</t>
  </si>
  <si>
    <t>MBXDA0100047</t>
  </si>
  <si>
    <t>Tháo dỡ hệ thống đèn cũ</t>
  </si>
  <si>
    <t>MBXDA0100048</t>
  </si>
  <si>
    <t>Tháo dỡ điều hòa từ 9000BTU đến 18000BTU</t>
  </si>
  <si>
    <t>MBXDA0100049</t>
  </si>
  <si>
    <t>Tháo dỡ điều hòa 2 cục 24000BTU</t>
  </si>
  <si>
    <t>MBXDA0100050</t>
  </si>
  <si>
    <t>Tháo dỡ điều hòa âm trần</t>
  </si>
  <si>
    <t>MBXDA0100051</t>
  </si>
  <si>
    <t>Tháo dỡ đường ống đồng bảo ôn</t>
  </si>
  <si>
    <t>MBXDA0100052</t>
  </si>
  <si>
    <t>Tháo dỡ giá đỡ giàn nóng</t>
  </si>
  <si>
    <t>MBXDA0100053</t>
  </si>
  <si>
    <t>Thao dỡ, dịch chuyển tủ mát không cánh dàn nóng ngoài</t>
  </si>
  <si>
    <t>MBXDA0100054</t>
  </si>
  <si>
    <t>Nhóm Xây dựng chung</t>
  </si>
  <si>
    <t>Hạng mục hoàn thiện chung</t>
  </si>
  <si>
    <t>Sự cố phát sinh khác</t>
  </si>
  <si>
    <t>Vệ sinh, xả nhám, cạo sạch lớp sơn tường cũ</t>
  </si>
  <si>
    <t>MBXDA0100055</t>
  </si>
  <si>
    <t>Thông bồn cầu WC</t>
  </si>
  <si>
    <t>MBXDA0100056</t>
  </si>
  <si>
    <t>Vận chuyển xà bần ra khổi công trình</t>
  </si>
  <si>
    <t>MBXDA0100057</t>
  </si>
  <si>
    <t>Vận chuyển trạc vữa từ trên cao xuống (bao gồm cả vận chuyển)</t>
  </si>
  <si>
    <t>MBXDA0100058</t>
  </si>
  <si>
    <t>Nhóm Cấp thoát nước</t>
  </si>
  <si>
    <t>Hạng mục hệ thống cấp thoát nước</t>
  </si>
  <si>
    <t>Tắc cống / Rò rỉ nước / Mất nước</t>
  </si>
  <si>
    <t>Bao tải (phục vụ công tác đóng bao rác thải)</t>
  </si>
  <si>
    <t>MBXDA0100059</t>
  </si>
  <si>
    <t>Nhân công (cho các mục xác nhận bằng công nhật- Tháo dỡ đinh vít, thiết bị đèn, điện, nước cũ, trám vá các vết nứt, hở, đinh vít, mái hiên di động, vệ sinh bảo dưỡng cửa cuốn...)</t>
  </si>
  <si>
    <t>MBXDA0100060</t>
  </si>
  <si>
    <t>Vận chuyển xà bần bằng xe tải 2m3</t>
  </si>
  <si>
    <t>MBXDA0100061</t>
  </si>
  <si>
    <t>Vận chuyển xà bần bằng xe tải 3m3</t>
  </si>
  <si>
    <t>MBXDA0100062</t>
  </si>
  <si>
    <t>Vận chuyển xà bần bằng xe tải 4m3</t>
  </si>
  <si>
    <t>MBXDA0100063</t>
  </si>
  <si>
    <t>Vận chuyển thiết bị rời bằng xe 1,25-2,5 tấn (Bao gồm nhân công bốc xếp lên xuống hàng. Không bao gồm nhân công tìm kiếm tại kho)</t>
  </si>
  <si>
    <t>MBXDA0100064</t>
  </si>
  <si>
    <t>MBXDA0100065</t>
  </si>
  <si>
    <t>Vận chuyển trang thiết bị lạnh bằng cẩu tự hành 3,5-5 Tấn (Bao gồm nhân công)</t>
  </si>
  <si>
    <t>MBXDA0100066</t>
  </si>
  <si>
    <t>Vận chuyển giá kệ, nội thất bằng xe 5-7 tấn (Bao gồm nhân công bốc xếp lên xuống hàng. Không bao gồm nhân công tìm kiếm tại kho)</t>
  </si>
  <si>
    <t>MBXDA0100067</t>
  </si>
  <si>
    <t>Chi phí vận chuyển ngoại tỉnh (Cho tất cả loại xe 
Tính từ Km31 trở đi)</t>
  </si>
  <si>
    <t>MBXDA0100068</t>
  </si>
  <si>
    <t>Bạt dứa che chắn khu vực thi công, phá dỡ</t>
  </si>
  <si>
    <t>MBXDA0100069</t>
  </si>
  <si>
    <t>Đào và lấp đất thi công móng, đà kiềng, hầm tự hoại, hố ga (Biện pháp đào thủ công)</t>
  </si>
  <si>
    <t>MBXDA0100070</t>
  </si>
  <si>
    <t>Bê tông đá dăm 4x6 lót móng và đà kiềng , mác 100 (Đổ bê tông thủ công M100)</t>
  </si>
  <si>
    <t>MBXDA0100071</t>
  </si>
  <si>
    <t>Bê tông móng  đá 1x2 ,  Mác 250 (Đổ bê tông thủ công M250)</t>
  </si>
  <si>
    <t>MBXDA0100072</t>
  </si>
  <si>
    <t>Bê tông cột đá 1x2 ,  Mác 250 (Đổ bê tông thủ công M250)</t>
  </si>
  <si>
    <t>MBXDA0100073</t>
  </si>
  <si>
    <t>Bê tông dầm,sàn đá 1x2 , Mác 250 (Đổ bê tông thủ công M250)</t>
  </si>
  <si>
    <t>MBXDA0100074</t>
  </si>
  <si>
    <t>Bê tông cầu thang đá 1x2 , Mác 250 (Đổ bê tông thủ công M250)</t>
  </si>
  <si>
    <t>MBXDA0100075</t>
  </si>
  <si>
    <t>Bê tông móng  đá 1x2 ,  Mác 200 (Bê tông đổ bằng thủ công M200)</t>
  </si>
  <si>
    <t>MBXDA0100076</t>
  </si>
  <si>
    <t>Bê tông cột đá 1x2 ,  Mác 200 (Bê tông đổ bằng thủ công M200)</t>
  </si>
  <si>
    <t>MBXDA0100077</t>
  </si>
  <si>
    <t>Bê tông dầm,sàn đá 1x2 , Mác 200 (Bê tông đổ bằng thủ công M200)</t>
  </si>
  <si>
    <t>MBXDA0100078</t>
  </si>
  <si>
    <t>Bê tông cầu thang đá 1x2 , Mác 200 (Bê tông đổ bằng thủ công M200)</t>
  </si>
  <si>
    <t>MBXDA0100079</t>
  </si>
  <si>
    <t>SXLD cốp pha móng (Cốt pha gỗ ván tạp/thép)</t>
  </si>
  <si>
    <t>MBXDA0100080</t>
  </si>
  <si>
    <t>SXLD cốp pha cột (Cốp pha bằng ván ép; xà gồ/thanh chống bằng sắt.)</t>
  </si>
  <si>
    <t>MBXDA0100081</t>
  </si>
  <si>
    <t>SXLD cốp pha dầm (Cốp pha bằng ván ép; xà gồ/thanh chống bằng sắt.)</t>
  </si>
  <si>
    <t>MBXDA0100082</t>
  </si>
  <si>
    <t>SXLD cốp pha sàn (Cốp pha bằng ván ép; xà gồ/thanh chống bằng sắt.)</t>
  </si>
  <si>
    <t>MBXDA0100083</t>
  </si>
  <si>
    <t>SXLD cốp pha cầu thang (Cốp pha bằng ván ép; xà gồ/thanh chống bằng sắt.)</t>
  </si>
  <si>
    <t>MBXDA0100084</t>
  </si>
  <si>
    <t>SXLD cốt thép (Thép Việt Ý/ Việt Đức/tđ; CT3)</t>
  </si>
  <si>
    <t>MBXDA0100085</t>
  </si>
  <si>
    <t>Xây tường gạch ống (Vữa mác 75, gạch tuynel)</t>
  </si>
  <si>
    <t>MBXDA0100086</t>
  </si>
  <si>
    <t>Nhóm Xây trát tường</t>
  </si>
  <si>
    <t>Hạng mục xây trát tường gạch</t>
  </si>
  <si>
    <t>Tường nứt / Tróc vữa trát</t>
  </si>
  <si>
    <t>Xây tường gạch ống 80x80x180 (Vữa mác 75, Xi măng PC4)</t>
  </si>
  <si>
    <t>MBXDA0100087</t>
  </si>
  <si>
    <t>Xây tường gạch thẻ (Vữa mác 75, gạch tuynel)</t>
  </si>
  <si>
    <t>MBXDA0100088</t>
  </si>
  <si>
    <t>Xây bậc cầu thang (Vữa mác 75, gạch tuynel)</t>
  </si>
  <si>
    <t>MBXDA0100089</t>
  </si>
  <si>
    <t>Bê tông lót nền, mác 200 (Đổ bê tông thủ công M250,  Độ sụt 10-12cm;Xi măng Hà Tiên 1, Holcim)</t>
  </si>
  <si>
    <t>MBXDA0100090</t>
  </si>
  <si>
    <t>Tô trát tường ngoài nhà, mác 75, dày 1,5cm</t>
  </si>
  <si>
    <t>MBXDA0100091</t>
  </si>
  <si>
    <t>Trát cạnh cửa, mác 75, dày 1,5cm</t>
  </si>
  <si>
    <t>MBXDA0100092</t>
  </si>
  <si>
    <t>Tô trát tường trong nhà, mác 75, dày 1,5cm</t>
  </si>
  <si>
    <t>MBXDA0100093</t>
  </si>
  <si>
    <t>Trát các vị trí đục ra xử lý, dày trung bình 1,5-2cm, vừa trộn Sika latex TH định mức 0,25l/m2</t>
  </si>
  <si>
    <t>MBXDA0100094</t>
  </si>
  <si>
    <t>Tô trát trần, mác 75, dày 1,5cm</t>
  </si>
  <si>
    <t>MBXDA0100095</t>
  </si>
  <si>
    <t>Nâng nền, đầm nền (Tận dụng xà bần hiện hữu, đầm len cát)</t>
  </si>
  <si>
    <t>MBXDA0100096</t>
  </si>
  <si>
    <t>Cán nền, vữa xi măng mác 75, dày 30-50mm</t>
  </si>
  <si>
    <t>MBXDA0100097</t>
  </si>
  <si>
    <t>Chống thấm bằng màng khò gốc bitum, dày 3mm (Sika® BituSeal T-130 SG (3 mm))</t>
  </si>
  <si>
    <t>MBXDA0100098</t>
  </si>
  <si>
    <t>Nhóm Chống thấm &amp; Mái tôn</t>
  </si>
  <si>
    <t>Hạng mục chống thấm &amp; mái tôn</t>
  </si>
  <si>
    <t>Mái dột / Thấm sê nô / Ẩm chân tường</t>
  </si>
  <si>
    <t>Chống thấm sàn dạng dung dịch (lỏng) (SikaTop® Seal-107, thi công 2 lớp theo tiêu chuẩn của nhà sản xuất.)</t>
  </si>
  <si>
    <t>MBXDA0100099</t>
  </si>
  <si>
    <t>SXLD xà gồ thép mạ kẽm (thép C) (Thép C100: 100x50x15, dày 1.8mmThép C80: 80x40x14, dày 1.8mm)</t>
  </si>
  <si>
    <t>MBXDA0100100</t>
  </si>
  <si>
    <t>SXLD mái tôn mạ kẽm 0.45mm ; tôn vuông 5, 9, 15 sóng (Tôn mạ kẽm, dày 0.45mm Hoa Sen/Hòa Phát)</t>
  </si>
  <si>
    <t>MBXDA0100101</t>
  </si>
  <si>
    <t>SXLD mái tôn mạ kẽm 0.38mm ; tôn vuông 9 sóng (Tôn mạ kẽm, dày 0.37mm Hoa Sen/Hòa Phát)</t>
  </si>
  <si>
    <t>MBXDA0100102</t>
  </si>
  <si>
    <t>CCLD vách thạch cao 1 mặt, khung xương Vĩnh Tường tấm Gyproc tiêu chuẩn dầy 9mm (- Hệ khung xương Vĩnh Tường/Zinca (U63/64 khoảng cách 610x1220mm).- Tấm tiêu chuẩn Gyproc/Boral dày 9mm)</t>
  </si>
  <si>
    <t>MBXDA0100103</t>
  </si>
  <si>
    <t>Nhóm Trần thạch cao &amp; Vách ngăn</t>
  </si>
  <si>
    <t>Hạng mục trần thạch cao &amp; vách ngăn</t>
  </si>
  <si>
    <t>Sập trần / Võng trần / Nứt vách</t>
  </si>
  <si>
    <t>CCLD vách thạch cao 1 mặt, khung nhôm chìm, chống ẩm dày 9mm (Khung xương V-Wall C63, U64; khoảng cách 600 cho thanh đứng / 1200 cho thanh ngang; tấm Vĩnh Tường, tấm Gyproc chống ẩm dày 9mm)</t>
  </si>
  <si>
    <t>MBXDA0100104</t>
  </si>
  <si>
    <t>CCLD vách thạch cao 1 mặt, tấm Gyproc tiêu chuẩn dầy 9mm không khung xương (Vĩnh Tường)</t>
  </si>
  <si>
    <t>MBXDA0100105</t>
  </si>
  <si>
    <t>CCLD vách thạch cao 2 mặt, khung xương Vĩnh Tường tấm Gyproc tiêu chuẩn dầy 9mm (Khung xương V-Wall C63, U64; khoảng cách 600 cho thanh đứng / 1200 cho thanh ngang; tấm Vĩnh Tường, tấm Gyproc dày 9mm)</t>
  </si>
  <si>
    <t>MBXDA0100106</t>
  </si>
  <si>
    <t>CCLD vách thạch cao 2 mặt, khung nhôm chìm, chống ẩm dày 9mm (Khung xương V-Wall C63, U64; khoảng cách 600 cho thanh đứng / 1200 cho thanh ngang; tấm Vĩnh Tường, tấm Gyproc chống ẩm dày 9mm)</t>
  </si>
  <si>
    <t>MBXDA0100107</t>
  </si>
  <si>
    <t>Vách 2 mặt: mặt bên ngoài là tấm cemboard dầy 5mm, mặt bên trong tấm thạch cao thường dầy 9mm (- Hệ khung xương Vĩnh Tường/Zinca (U63/64 khoảng cách 610x1220mm).- Tấm tiêu chuẩn Gyproc/Boral dày 9mm)</t>
  </si>
  <si>
    <t>MBXDA0100108</t>
  </si>
  <si>
    <t>CCLD trần thạch cao chìm, khung nhôm chìm (tấm dày 9mm) (Áp dụng cho hệ trần ổn định. Khung xương BASI khoảng cách 300 cho thanh phụ/ 900 cho thanh chính; tấm Gyproc  Vĩnh Tường, dày 9mm)</t>
  </si>
  <si>
    <t>MBXDA0100109</t>
  </si>
  <si>
    <t>CCLD Trần thạch cao chống ẩm, khung xương chìm (tấm dày 9mm) (Khung xương BASI khoảng cách 300 cho thanh phụ/ 900 cho thanh chính; tấm Gyproc Vĩnh Tường chống ẩm dày 9mm)</t>
  </si>
  <si>
    <t>MBXDA0100110</t>
  </si>
  <si>
    <t>Hệ cửa thăm trần thạch cao tiêu chuẩn kt 450x450x9mm ( Vĩnh tường/ Thanh bình)</t>
  </si>
  <si>
    <t>MBXDA0100111</t>
  </si>
  <si>
    <t>CCLD trần thạch cao thả nổi 600x600, khung nhôm sơn trắng (- Hệ khung xương Topline - Vĩnh Tường/Zinca khoảng cách xương 600x600mm.'- Tấm tạch cao phủ PVC VT4 dày 9mm)</t>
  </si>
  <si>
    <t>MBXDA0100112</t>
  </si>
  <si>
    <t>CCLĐ trần thạch cao thả nổi 600x600, khung nhôm sơn trắng (Hệ khung xương Topline - Vĩnh Tường/Zinca khoảng cách xương 600x600. Tấm thạch cao phủ PVC VT4 dày 8mm)</t>
  </si>
  <si>
    <t>MBXDA0100113</t>
  </si>
  <si>
    <t>CCLD Trần thạch cao thả nổi 600x600 chống ẩm, khung nhôm sơn trắng (Khung xương VT - TopLINE; tấm thạch cao phủ PVC dày 9mm, chống ẩm)</t>
  </si>
  <si>
    <t>MBXDA0100114</t>
  </si>
  <si>
    <t>Thay tấm trần thạch cao thả nổi 600x600</t>
  </si>
  <si>
    <t>MBXDA0100115</t>
  </si>
  <si>
    <t>CCLĐ Khung xương trần thả Vĩnh tường, tấm tận dụng (- Hệ khung xương VT-Line - Vĩnh Tường/Zinca khoảng cách xương 600x600mm)</t>
  </si>
  <si>
    <t>MBXDA0100116</t>
  </si>
  <si>
    <t>Trần nhựa PVC 600x600 khung xương nổi (- Hệ khung xương Topline - Vĩnh Tường/Zinca khoảng cách xương 600x600mm.'- Tấm  nhựa PVC 600x600 dày 6mm)</t>
  </si>
  <si>
    <t>MBXDA0100117</t>
  </si>
  <si>
    <t>Trần nhựa PVC 600x600 dày 6mm (-  Tấm nhựa PVC dày 6mm 
-  Không bao gồm khung xương)</t>
  </si>
  <si>
    <t>MBXDA0100118</t>
  </si>
  <si>
    <t>Thay tấm trần nhựa thả nổi 600x600, dày 6mm (Mã :TTT-004 Dày 6mm)</t>
  </si>
  <si>
    <t>MBXDA0100119</t>
  </si>
  <si>
    <t>CCLĐ trần nhôm Austrong - Clip in 600x600 (- Trầm nhôm phẳng (không đục lỗ) Austrong - Clip in, khung xương chìm KT600x600 hoặc tương đương - Dày 0.6-0.9mm, màu trắng, Mã màu: JL3317 hoặc tương đương. Sơn tĩnh điện cao cấp - công nghệ nano hoặc tương đương.)</t>
  </si>
  <si>
    <t>MBXDA0100120</t>
  </si>
  <si>
    <t>Thay thế tấm trần nhôm Clip-in (Trần nhôm Clip-in - Alcorest 
- Tháo dỡ các tấm trần hỏng - Lắp các tấm trần mới vào một khu vực để tránh chắp vá do trần cũ quá lâu không còn sản xuất và đã ngã mầu nhiều)</t>
  </si>
  <si>
    <t>MBXDA0100121</t>
  </si>
  <si>
    <t>Trán trần thạch cao (Cao 200m)</t>
  </si>
  <si>
    <t>MBXDA0100122</t>
  </si>
  <si>
    <t>Vá lỗ trần, vách thạch cao khung xương chìm (bao gồm cả sơn bả, hoàn thiện theo màu hiện trạng), diện tích &lt;0,5m2</t>
  </si>
  <si>
    <t>MBXDA0100123</t>
  </si>
  <si>
    <t>Cắt trần thạch cao và khung xương vĩnh tường</t>
  </si>
  <si>
    <t>MBXDA0100124</t>
  </si>
  <si>
    <t>Bổ sung chi phí ty ren D6 hệ trần thạch cao - do chiều dài &gt; chiều dài tiêu chuẩn (chiều dài tiêu chuẩn tyren &lt;=1m đã bao gồm trong đơn giá) (Trần mái tôn cao 6m)</t>
  </si>
  <si>
    <t>MBXDA0100125</t>
  </si>
  <si>
    <t>Chỉnh sửa trần thạch cao cong, sệ (Bao gồm căn chỉnh lại toàn bộ các ty treo, thanh viền bị cong vênh)</t>
  </si>
  <si>
    <t>MBXDA0100126</t>
  </si>
  <si>
    <t>CCLĐ vách Cemboard dày 5mm (- Hệ khung xương Vĩnh Tường/Zinca (U63/64 khoảng cách 610x1220mm). Tấm Uco)</t>
  </si>
  <si>
    <t>MBXDA0100127</t>
  </si>
  <si>
    <t>Vách 2 mặt:  tấm cemboard dầy 5mm, (- Hệ khung xương Vĩnh Tường/Zinca (U63/64 khoảng cách 610x1220mm).)</t>
  </si>
  <si>
    <t>MBXDA0100128</t>
  </si>
  <si>
    <t>Tấm cemboard dầy 20mm</t>
  </si>
  <si>
    <t>MBXDA0100129</t>
  </si>
  <si>
    <t>Sơn nước ngoại thất không bả (Sơn 1 lớp lót; 2 lớp phủ) (Sơn Kova không bóng. Sơn 1 lớp lót, 2 lớp hoàn thiện.)</t>
  </si>
  <si>
    <t>MBXDA0100130</t>
  </si>
  <si>
    <t>Sơn nước ngoại thất không bả (Sơn 1 lớp lót; 2 lớp phủ) (Sơn Nippon SM8875. Sơn 1 lớp lót, 2 lớp hoàn thiện. (màu đỏ))</t>
  </si>
  <si>
    <t>MBXDA0100131</t>
  </si>
  <si>
    <t>Sơn nước ngoại thất không bả (2 lớp phủ) (Sơn Kova không bóng. Sơn 2 lớp hoàn thiện.)</t>
  </si>
  <si>
    <t>MBXDA0100132</t>
  </si>
  <si>
    <t>Sơn nước nội thất không bả (Sơn 1 lớp lót) (Sơn Kova không bóng. Sơn 1 lớp lót)</t>
  </si>
  <si>
    <t>MBXDA0100133</t>
  </si>
  <si>
    <t>Sơn nước nội thất không bả (Sơn phủ 2 lớp) (Sơn Kova không bóng. Sơn 2 lớp hoàn thiện.)</t>
  </si>
  <si>
    <t>MBXDA0100134</t>
  </si>
  <si>
    <t>Sơn nước nội thất không bả (Sơn 1 lớp lót, sơn phủ 2 lớp) (Sơn Kova không bóng. Sơn 1 lớp lót, 2 lớp hoàn thiện.)</t>
  </si>
  <si>
    <t>MBXDA0100135</t>
  </si>
  <si>
    <t>Sơn nước nội thất không bả (Sơn phủ 1 lớp) (Sơn Kova không bóng. Sơn 1 lớp hoàn thiện.)</t>
  </si>
  <si>
    <t>MBXDA0100136</t>
  </si>
  <si>
    <t>Sơn tường trong nhà 1 lớp lót, 2 phủ, diện tích nhỏ lẻ</t>
  </si>
  <si>
    <t>MBXDA0100137</t>
  </si>
  <si>
    <t>Sơn ngoại thất màu vàng nhạt Kova mã KV 355P -WamCocoon (Sơn phủ 2 lớp)</t>
  </si>
  <si>
    <t>MBXDA0100138</t>
  </si>
  <si>
    <t>Bả Ximya nội thất (bả 2 lớp)</t>
  </si>
  <si>
    <t>MBXDA0100139</t>
  </si>
  <si>
    <t>Bả Ximya ngoại thất (bả 2 lớp)</t>
  </si>
  <si>
    <t>MBXDA0100140</t>
  </si>
  <si>
    <t>Sơn EPOXY (Sơn Jotun)</t>
  </si>
  <si>
    <t>MBXDA0100141</t>
  </si>
  <si>
    <t>Sơn ống thép bao gồm 1 lớp sơn chống gỉ và 2 lớp sơn hoàn thiện</t>
  </si>
  <si>
    <t>MBXDA0100142</t>
  </si>
  <si>
    <t>Sơn chống gỉ (Sơn Jotun)</t>
  </si>
  <si>
    <t>MBXDA0100143</t>
  </si>
  <si>
    <t>Sơn dầu (Sơn Jotun)</t>
  </si>
  <si>
    <t>MBXDA0100144</t>
  </si>
  <si>
    <t>Ốp gỗ trang trí MFC dày 9mm</t>
  </si>
  <si>
    <t>MBXDA0100145</t>
  </si>
  <si>
    <t>Đục tạo nhám tường để ốp gạch (Cải tạo tường hiện hữu)</t>
  </si>
  <si>
    <t>MBXDA0100146</t>
  </si>
  <si>
    <t>Đục tạo nhám nền gạch cũ (Tạo nhám để cán nền)</t>
  </si>
  <si>
    <t>MBXDA0100147</t>
  </si>
  <si>
    <t>Đục và lát lại gạch terazzo 400*400</t>
  </si>
  <si>
    <t>MBXDA0100148</t>
  </si>
  <si>
    <t>Lát vỉa hè gạch Terazzo KT300x300mm (Lát bằng hồ dầu)</t>
  </si>
  <si>
    <t>MBXDA0100149</t>
  </si>
  <si>
    <t>Nhóm đầu việc Request từ P.Kỹ thuật/ VH
(Theo ngôn ngữ thực tế)</t>
  </si>
  <si>
    <t>Tên Nhóm đầu việc giao thầu NT theo BOQ (Bảo hành)</t>
  </si>
  <si>
    <r>
      <rPr>
        <b/>
        <i/>
        <u/>
        <sz val="11"/>
        <color theme="1"/>
        <rFont val="Calibri"/>
        <family val="2"/>
        <scheme val="minor"/>
      </rPr>
      <t>III. HƯỚNG DẪN VẬN HÀNH ĐỒNG BỘ GIỮA VH – KT – XD</t>
    </r>
    <r>
      <rPr>
        <sz val="11"/>
        <color theme="1"/>
        <rFont val="Calibri"/>
        <family val="2"/>
        <scheme val="minor"/>
      </rPr>
      <t xml:space="preserve">
</t>
    </r>
    <r>
      <rPr>
        <b/>
        <sz val="11"/>
        <color theme="1"/>
        <rFont val="Calibri"/>
        <family val="2"/>
        <scheme val="minor"/>
      </rPr>
      <t xml:space="preserve">Bước 1: Chuẩn hóa Reason code trong Data hồ sơ bảo hành theo từng CH khi phát hành BOQ
Bước 2: Đồng nhất Reason code bảo hành giữa BOQ - XD - Kỹ thuât - Vận hành
Bước 3: Phân loại bảo hành và gửi về đầu mối phụ trách </t>
    </r>
    <r>
      <rPr>
        <sz val="11"/>
        <color theme="1"/>
        <rFont val="Calibri"/>
        <family val="2"/>
        <scheme val="minor"/>
      </rPr>
      <t xml:space="preserve">
</t>
    </r>
    <r>
      <rPr>
        <b/>
        <sz val="11"/>
        <color theme="1"/>
        <rFont val="Calibri"/>
        <family val="2"/>
        <scheme val="minor"/>
      </rPr>
      <t>Bước 4</t>
    </r>
    <r>
      <rPr>
        <sz val="11"/>
        <color theme="1"/>
        <rFont val="Calibri"/>
        <family val="2"/>
        <scheme val="minor"/>
      </rPr>
      <t>: Xử lý và phản hồi</t>
    </r>
  </si>
  <si>
    <t>Ngày hết BH</t>
  </si>
  <si>
    <t>PIC</t>
  </si>
  <si>
    <t>Trạng thái</t>
  </si>
  <si>
    <t>Mã số
đầu việc (BH)</t>
  </si>
  <si>
    <t>Vận hành (Mô tả bằng mắt)</t>
  </si>
  <si>
    <t>Khối lượng CV</t>
  </si>
  <si>
    <t>Móng, giằng BTCT</t>
  </si>
  <si>
    <t>Cán nền</t>
  </si>
  <si>
    <t>Lát nền</t>
  </si>
  <si>
    <t>Ốp gạch tường</t>
  </si>
  <si>
    <t>Xây tường</t>
  </si>
  <si>
    <t>Trát tường</t>
  </si>
  <si>
    <t>Sơn tường + bả tường.</t>
  </si>
  <si>
    <t>Vách thạch cao</t>
  </si>
  <si>
    <t>Vách Cemboard</t>
  </si>
  <si>
    <t>Vách Panel</t>
  </si>
  <si>
    <t>Vách alu + khung thép.</t>
  </si>
  <si>
    <t>Vách tôn</t>
  </si>
  <si>
    <t>Cửa, vách kính và phụ kiện.</t>
  </si>
  <si>
    <t>Cửa cuốn</t>
  </si>
  <si>
    <t>Cửa sắt</t>
  </si>
  <si>
    <t>Khóa cửa, gia cố cửa cuốn</t>
  </si>
  <si>
    <t>Rèm cuốn/ rèm nhựa/ rèm vải.</t>
  </si>
  <si>
    <t>Cầu thang thép/ lan can</t>
  </si>
  <si>
    <t>Trần thạch cao</t>
  </si>
  <si>
    <t>Mái tôn</t>
  </si>
  <si>
    <t>Khung xương thép vách ngăn/ bao.</t>
  </si>
  <si>
    <t>Khung xương thép - vì kèo, xà gồ</t>
  </si>
  <si>
    <t>Máng thoát nước</t>
  </si>
  <si>
    <t>Chống thấm tường</t>
  </si>
  <si>
    <t>Chống thấm mái</t>
  </si>
  <si>
    <t>Tủ điện và các TTB trong tủ</t>
  </si>
  <si>
    <t>Tủ mạng</t>
  </si>
  <si>
    <t>Dây điện</t>
  </si>
  <si>
    <t>Cáp mạng</t>
  </si>
  <si>
    <t>Ổ điện</t>
  </si>
  <si>
    <t>Ổ mạng</t>
  </si>
  <si>
    <t>Ống ghen</t>
  </si>
  <si>
    <t>Bóng đèn</t>
  </si>
  <si>
    <t>Loa, ampli, dây tín hiệu</t>
  </si>
  <si>
    <t>Máng cáp</t>
  </si>
  <si>
    <t>Ống cấp nước</t>
  </si>
  <si>
    <t>Quạt gắn trần/ tường</t>
  </si>
  <si>
    <t>Quạt hút âm trần/ tường - thông gió</t>
  </si>
  <si>
    <t>Ống đồng, dây điện, bảo ôn, thoát nước TTB lạnh, gas.</t>
  </si>
  <si>
    <t>ĐHKK - do WCM đặt mua</t>
  </si>
  <si>
    <t>Bồn nước</t>
  </si>
  <si>
    <t>Máy bơm</t>
  </si>
  <si>
    <t>Giếng khoan</t>
  </si>
  <si>
    <t>Bộ lọc nước</t>
  </si>
  <si>
    <t>Đồng hồ điện</t>
  </si>
  <si>
    <t>Đồng hồ nước</t>
  </si>
  <si>
    <t>Camera</t>
  </si>
  <si>
    <t>Đầu ghi</t>
  </si>
  <si>
    <t>Ổ cứng</t>
  </si>
  <si>
    <t>Bộ lưu điện</t>
  </si>
  <si>
    <t>Dây điện, dây Cat 5, 6, ống ghen</t>
  </si>
  <si>
    <t>Nhóm thi công móng</t>
  </si>
  <si>
    <t>Nhóm thi công nền</t>
  </si>
  <si>
    <t>Nhóm thi công tường.</t>
  </si>
  <si>
    <t>Nhóm thi công mái</t>
  </si>
  <si>
    <t>Nhóm thi công tường/ vách</t>
  </si>
  <si>
    <t>Nhóm thi công cửa</t>
  </si>
  <si>
    <t>Nhóm thi công trần</t>
  </si>
  <si>
    <t>Nhóm thi công máng</t>
  </si>
  <si>
    <t>Nhóm thi công rèm che</t>
  </si>
  <si>
    <t>Nhóm thi công camera</t>
  </si>
  <si>
    <t>Nhóm thi công cơ điện</t>
  </si>
  <si>
    <t>Nhóm thi công xây dựng</t>
  </si>
  <si>
    <t>Ống thoát nước sàn.</t>
  </si>
  <si>
    <t>Ống thoát nước mái</t>
  </si>
  <si>
    <t>Nâng nền, đầm nền.</t>
  </si>
  <si>
    <t>Móng xây gạch.</t>
  </si>
  <si>
    <t>Nứt vách / Hở vách</t>
  </si>
  <si>
    <t>Bể kính / Cạ kính / Hư bản lề</t>
  </si>
  <si>
    <t>BHXDA001</t>
  </si>
  <si>
    <t>BHXDA002</t>
  </si>
  <si>
    <t>BHXDA003</t>
  </si>
  <si>
    <t>BHXDA004</t>
  </si>
  <si>
    <t>BHXDA005</t>
  </si>
  <si>
    <t>BHXDA006</t>
  </si>
  <si>
    <t>BHXDA007</t>
  </si>
  <si>
    <t>BHXDA008</t>
  </si>
  <si>
    <t>BHXDA009</t>
  </si>
  <si>
    <t>BHXDA010</t>
  </si>
  <si>
    <t>BHXDA011</t>
  </si>
  <si>
    <t>BHXDA012</t>
  </si>
  <si>
    <t>BHXDA013</t>
  </si>
  <si>
    <t>BHXDA014</t>
  </si>
  <si>
    <t>BHXDA015</t>
  </si>
  <si>
    <t>BHXDA016</t>
  </si>
  <si>
    <t>BHXDA017</t>
  </si>
  <si>
    <t>BHXDA018</t>
  </si>
  <si>
    <t>BHXDA019</t>
  </si>
  <si>
    <t>BHXDA020</t>
  </si>
  <si>
    <t>BHXDA021</t>
  </si>
  <si>
    <t>BHXDA022</t>
  </si>
  <si>
    <t>BHXDA023</t>
  </si>
  <si>
    <t>BHXDA024</t>
  </si>
  <si>
    <t>BHXDA025</t>
  </si>
  <si>
    <t>BHXDA026</t>
  </si>
  <si>
    <t>BHXDA027</t>
  </si>
  <si>
    <t>BHXDA028</t>
  </si>
  <si>
    <t>BHXDA029</t>
  </si>
  <si>
    <t>BHXDA030</t>
  </si>
  <si>
    <t>BHXDA031</t>
  </si>
  <si>
    <t>BHXDA032</t>
  </si>
  <si>
    <t>BHXDA033</t>
  </si>
  <si>
    <t>BHXDA034</t>
  </si>
  <si>
    <t>BHXDA035</t>
  </si>
  <si>
    <t>BHXDA036</t>
  </si>
  <si>
    <t>BHXDA037</t>
  </si>
  <si>
    <t>BHXDA038</t>
  </si>
  <si>
    <t>BHXDA039</t>
  </si>
  <si>
    <t>BHXDA040</t>
  </si>
  <si>
    <t>BHXDA041</t>
  </si>
  <si>
    <t>BHXDA042</t>
  </si>
  <si>
    <t>BHXDA043</t>
  </si>
  <si>
    <t>BHXDA044</t>
  </si>
  <si>
    <t>BHXDA045</t>
  </si>
  <si>
    <t>BHXDA046</t>
  </si>
  <si>
    <t>BHXDA047</t>
  </si>
  <si>
    <t>BHXDA048</t>
  </si>
  <si>
    <t>BHXDA049</t>
  </si>
  <si>
    <t>Nhóm thi công cầu thang, lan can</t>
  </si>
  <si>
    <t>Nhóm thi công khung xương thép</t>
  </si>
  <si>
    <t>Nhóm thi công nền tầng</t>
  </si>
  <si>
    <t>HỒ SƠ CƠ BẢN HÀNH XD&amp;ME - ĐỐI SOÁT BOQ &amp; MASTER REASON CODE</t>
  </si>
  <si>
    <t xml:space="preserve">1. Tất cả các BOQ phát hành đều kèm theo "Mã số đầu việc (BH)" </t>
  </si>
  <si>
    <t xml:space="preserve">3. Sử dụng sharepoint </t>
  </si>
  <si>
    <t>4. Xây dựng dashboard dựa trên Data sharepoint</t>
  </si>
  <si>
    <t>2. Hàng tuần thứ 6 - P.XD cập nhật hồ sơ bảo hành lên link chung (Update từ công trường nếu có thay đổi)</t>
  </si>
  <si>
    <t>YÊU CẦU BẢO HÀNH CỦA BỘ PHẬN KỸ THUẬT &amp; VẬN HÀNH</t>
  </si>
  <si>
    <t>Miền</t>
  </si>
  <si>
    <t>Nhà Thầu</t>
  </si>
  <si>
    <t>Miền Nam</t>
  </si>
  <si>
    <t>Phú Mỹ</t>
  </si>
  <si>
    <t>Mã sô đầu việc Check BH</t>
  </si>
  <si>
    <t>Bộ lý do yêu cầu của Kỹ thuật/VH</t>
  </si>
  <si>
    <t>Kết luận</t>
  </si>
  <si>
    <t>Ngày P.KT gửi yêu cầu</t>
  </si>
  <si>
    <t>Người Gửi</t>
  </si>
  <si>
    <t>Nguyễn Văn A</t>
  </si>
  <si>
    <t>Thông tin QLDA phụ trách</t>
  </si>
  <si>
    <t>Trạng Thái Xử Lý</t>
  </si>
  <si>
    <t>Nguyễn Văn B</t>
  </si>
  <si>
    <t>Nội Dung Trả Lời / Phương Án/ Thời gian cam kết xử lý</t>
  </si>
  <si>
    <t>Hạn phản hồi</t>
  </si>
  <si>
    <t>Nhóm lý do yêu cầu từ P.Kỹ thuật/ VH
(Theo ngôn ngữ thực tế)</t>
  </si>
  <si>
    <t>MASTER DATA QUY ĐỔI HẠNG MỤC BẢO HÀNH: KỸ THUẬT - XÂY DỰNG - BOQ</t>
  </si>
  <si>
    <t>P.KT</t>
  </si>
  <si>
    <t>DATA</t>
  </si>
  <si>
    <t>Nhóm lý do yêu cầu từ P.Kỹ thuật/ VH
(Theo ngôn ngữ thực tế P.Kỹ thuật đang dùng)</t>
  </si>
  <si>
    <t>BHXDA050</t>
  </si>
  <si>
    <t>BHXDA051</t>
  </si>
  <si>
    <t>BHXDA052</t>
  </si>
  <si>
    <t>BHXDA053</t>
  </si>
  <si>
    <t>BHXDA054</t>
  </si>
  <si>
    <t>BHXDA055</t>
  </si>
  <si>
    <t>BHXDA056</t>
  </si>
  <si>
    <t>BHXDA057</t>
  </si>
  <si>
    <t>BHXDA058</t>
  </si>
  <si>
    <t>BHXDA059</t>
  </si>
  <si>
    <t>Hư hỏng do sự cố lún nền móng</t>
  </si>
  <si>
    <t>Sàn Plywood - gác xếp</t>
  </si>
  <si>
    <t>Gạch nền vỡ / Lún nứt nền</t>
  </si>
  <si>
    <t>Gạch tường vỡ / Bung gạch tường</t>
  </si>
  <si>
    <t>Võng sàn Plywood / Nứt gãy</t>
  </si>
  <si>
    <t>Nứt vách / Hở vách thạch cao</t>
  </si>
  <si>
    <t>Nứt vách / Hở vách cemboard</t>
  </si>
  <si>
    <t>Nứt vách / Hở vách Panel</t>
  </si>
  <si>
    <t>Nứt vách / Hở vách Alu</t>
  </si>
  <si>
    <t>Hư hỏng cửa cuốn</t>
  </si>
  <si>
    <t>Hư hỏng cửa sắt</t>
  </si>
  <si>
    <t>Hư khóa cửa</t>
  </si>
  <si>
    <t>Hư hỏng rèm cửa</t>
  </si>
  <si>
    <t>Hư hỏng cầu thang thép / lan can</t>
  </si>
  <si>
    <t>Hư hỏng trần/ Võng trần thạch cao</t>
  </si>
  <si>
    <t xml:space="preserve">Thấm dột mái tôn </t>
  </si>
  <si>
    <t>Khung xương thép gác xếp</t>
  </si>
  <si>
    <t>Hệ khung thép gác xếp bị võng / Nứt gãy</t>
  </si>
  <si>
    <t>Hệ khung thép vách ngăn bị ngã / Nứt gãy</t>
  </si>
  <si>
    <t>Hệ khung thép mái bị võng / Nứt gãy</t>
  </si>
  <si>
    <t>Thấm dột máng thoát nước</t>
  </si>
  <si>
    <t>Hư hỏng ống thoát nước mái</t>
  </si>
  <si>
    <t>Thấm dột mái đã chống thấm</t>
  </si>
  <si>
    <t xml:space="preserve">Hư hỏng thiết bị Tủ điện </t>
  </si>
  <si>
    <t>TBVS - bồn cầu, vòi xịt</t>
  </si>
  <si>
    <t>TBVS - gương soi</t>
  </si>
  <si>
    <t>Hư hỏng thiết bị bồn cầu, vòi xịt</t>
  </si>
  <si>
    <t>Hư hỏng thiết bị gương soi</t>
  </si>
  <si>
    <t>TBVS - chậu rửa, vòi xịt</t>
  </si>
  <si>
    <t>Hư hỏng thiết bị chậu rửa, vòi xịt</t>
  </si>
  <si>
    <t>Nhóm TTB vệ sinh</t>
  </si>
  <si>
    <t>Nhóm TTB điện</t>
  </si>
  <si>
    <t>Nhóm TTB mạng</t>
  </si>
  <si>
    <t>Nhóm TTB ĐHKK</t>
  </si>
  <si>
    <t>Nhóm TTB nước</t>
  </si>
  <si>
    <t>Nhóm thi công giếng khoan</t>
  </si>
  <si>
    <t>Nhóm TTB camera</t>
  </si>
  <si>
    <t>Hư hỏng thiết bị Tủ mạng</t>
  </si>
  <si>
    <t>Hư hỏng dây điện</t>
  </si>
  <si>
    <t>Hư hỏng dây mạng</t>
  </si>
  <si>
    <t>Hư hỏng ổ điện</t>
  </si>
  <si>
    <t>Hư hỏng ổ mạng</t>
  </si>
  <si>
    <t>Hư hỏng ống ghen</t>
  </si>
  <si>
    <t>Hư hỏng bóng đèn</t>
  </si>
  <si>
    <t>Hư hỏng Loa, ampli, dây tín hiệu</t>
  </si>
  <si>
    <t>Hư hỏng máng cáp</t>
  </si>
  <si>
    <t>Hư hỏng đèn sự cố</t>
  </si>
  <si>
    <t>Đèn thoát hiểm</t>
  </si>
  <si>
    <t>Đèn sự cố</t>
  </si>
  <si>
    <t>Hư hỏng đèn thoát hiểm</t>
  </si>
  <si>
    <t>Hư hỏng quạt gắn trần/ tường</t>
  </si>
  <si>
    <t>Hư hỏng quạt hút âm trần/ tường - thông gió</t>
  </si>
  <si>
    <t>Hư hỏng ĐHKK</t>
  </si>
  <si>
    <t>Hư hỏng đồng hồ điện</t>
  </si>
  <si>
    <t>Hư hỏng ống cấp nước</t>
  </si>
  <si>
    <t>Hư hỏng ống thoát nước sàn</t>
  </si>
  <si>
    <t>Hư hỏng bồn nước</t>
  </si>
  <si>
    <t>Hư hỏng máy bơm</t>
  </si>
  <si>
    <t>Mất nước</t>
  </si>
  <si>
    <t>Hư hỏng bộ lọc nước</t>
  </si>
  <si>
    <t>Hư hỏng đồng hồ nước</t>
  </si>
  <si>
    <t>Hư hỏng đầu ghi camera</t>
  </si>
  <si>
    <t>Hư hỏng ổ cứng camera</t>
  </si>
  <si>
    <t>Hư hỏng Camera</t>
  </si>
  <si>
    <t>Hư hỏng bộ lưu điện camera</t>
  </si>
  <si>
    <t>Hư hỏng dây điện , dây mạng camera</t>
  </si>
  <si>
    <t>2CAO</t>
  </si>
  <si>
    <t>WM+ LDG 59 Tuyên Quang</t>
  </si>
  <si>
    <t>Nội dung chi tiết</t>
  </si>
  <si>
    <t>Nền khu vực kinh doanh bị lún</t>
  </si>
  <si>
    <t>Cửa kính mở bị cạ nền</t>
  </si>
  <si>
    <t>Cửa cuốn cửa chính bị kẹt ray</t>
  </si>
  <si>
    <t>Không lạnh / Thiếu gas / Mất nguồn</t>
  </si>
  <si>
    <t>Máy lạnh bị mất nguồn</t>
  </si>
  <si>
    <t>Nhóm thi công ĐHKK</t>
  </si>
  <si>
    <t>Thấm dột vị trí quầy thu ngân</t>
  </si>
  <si>
    <t xml:space="preserve">Tường khu kinh doanh bị thấm </t>
  </si>
  <si>
    <t>Đèn khu kinh doanh bị hư</t>
  </si>
  <si>
    <t>Thấm dột kho vực kho dưới máng xối</t>
  </si>
  <si>
    <t>Mái khu vực kho bị thấm dột</t>
  </si>
  <si>
    <t>Nhà thầu thông tin ngày 5/9 xử lý</t>
  </si>
  <si>
    <t>Nhà thầu đã kiểm tra phản hồi nguyên nhân do chuột cắn dây nguồn máy lạnh , đã hỗ trợ xử lý</t>
  </si>
  <si>
    <t>Mái tận dụng , nhà thầu có thi công gói bắn keo chống dột và đang sắp xếp nhân sự xử lý</t>
  </si>
  <si>
    <t>Nền lún do bị rò rỉ nước từ bể tự hoại composite, nhà thầu đang sắp xếp nhân sự xử lý</t>
  </si>
  <si>
    <t>Nhà thầu có thi công mới 1 phần mái tôn khu vực Kho , Phần mái tôn khu vực Kinh Doanh là mái tận dụng theo hồ sơ thiết kế</t>
  </si>
  <si>
    <t>Nhà thầu thông tin ngày 3/9 xử lý</t>
  </si>
  <si>
    <t>Vị trí mái ngay tán cây nên máng thoát nước bị nghẹt rác gây tràn nước vào kho. Nhà thầu đã hỗ trợ dọn và đề nghị WCM thường xuyê vệ sinh máng xối</t>
  </si>
  <si>
    <t>Đang xử lý, chờ phản hồi</t>
  </si>
  <si>
    <t>Đã phản hồi thời gian xử lý, chờ kết quả</t>
  </si>
  <si>
    <t>Đã xử lý</t>
  </si>
  <si>
    <t>Thấm ẩm tường đã chống thấm</t>
  </si>
  <si>
    <t>Tường nứt / Tróc vữa trát / Thấm tường</t>
  </si>
  <si>
    <t>Không thuộc phạm vi bảo hành</t>
  </si>
  <si>
    <t>Nhà thầu đã kiểm tra nguyên nhân do khe tiếp giáp giữa 2 nhà phía hàng xóm xây nhà mới không làm dìm tole che khe tường giữa 2 nhà dẫn đến nước chảy thấm ngấm tường. Đề xuất báo giá chi phí làm dìm tôn để trình phê duyệt xử lý</t>
  </si>
  <si>
    <t xml:space="preserve">Không thuộc phạm vi bảo hành. Nhà thầu đang báo giá chi phí </t>
  </si>
  <si>
    <t xml:space="preserve">Không thuộc phạm vi bảo hành. Đã hỗ trợ xử lý </t>
  </si>
  <si>
    <t xml:space="preserve">Dìm tôn </t>
  </si>
  <si>
    <t>Thấm dột tường bao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</si>
</sst>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5"/>
      <color rgb="FFFFFFFF"/>
      <name val="Calibri"/>
      <family val="2"/>
    </font>
    <font>
      <b/>
      <sz val="11"/>
      <color rgb="FF1F4E78"/>
      <name val="Calibri"/>
      <family val="2"/>
    </font>
    <font>
      <b/>
      <sz val="10"/>
      <color rgb="FFFFFFFF"/>
      <name val="Calibri"/>
      <family val="2"/>
    </font>
    <font>
      <sz val="10"/>
      <name val="Calibri"/>
      <family val="2"/>
    </font>
    <font>
      <b/>
      <sz val="11"/>
      <color theme="1"/>
      <name val="Calibri"/>
      <family val="2"/>
      <scheme val="minor"/>
    </font>
    <font>
      <b/>
      <i/>
      <u/>
      <sz val="11"/>
      <color theme="1"/>
      <name val="Calibri"/>
      <family val="2"/>
      <scheme val="minor"/>
    </font>
    <font>
      <b/>
      <sz val="14"/>
      <color rgb="FFFFFFFF"/>
      <name val="Calibri"/>
      <family val="2"/>
    </font>
    <font>
      <sz val="14"/>
      <color theme="1"/>
      <name val="Calibri"/>
      <family val="2"/>
      <scheme val="minor"/>
    </font>
    <font>
      <sz val="11"/>
      <color rgb="FFFF0000"/>
      <name val="Calibri"/>
      <family val="2"/>
      <scheme val="minor"/>
    </font>
    <font>
      <b/>
      <sz val="10"/>
      <name val="Calibri"/>
      <family val="2"/>
    </font>
    <font>
      <sz val="10"/>
      <color rgb="FFFF0000"/>
      <name val="Calibri"/>
      <family val="2"/>
    </font>
    <font>
      <b/>
      <sz val="10"/>
      <color rgb="FFFF0000"/>
      <name val="Calibri"/>
      <family val="2"/>
    </font>
    <font>
      <b/>
      <sz val="10.5"/>
      <color theme="0"/>
      <name val="Calibri"/>
      <family val="2"/>
    </font>
    <font>
      <b/>
      <sz val="11"/>
      <color rgb="FFFF0000"/>
      <name val="Calibri"/>
      <family val="2"/>
      <scheme val="minor"/>
    </font>
    <font>
      <sz val="10"/>
      <color rgb="FFC00000"/>
      <name val="Calibri"/>
      <family val="2"/>
    </font>
    <font>
      <sz val="8"/>
      <name val="Calibri"/>
      <family val="2"/>
      <scheme val="minor"/>
    </font>
    <font>
      <b/>
      <sz val="11"/>
      <color theme="0"/>
      <name val="Calibri"/>
      <family val="2"/>
      <scheme val="minor"/>
    </font>
    <font>
      <sz val="11"/>
      <color theme="0"/>
      <name val="Calibri"/>
      <family val="2"/>
      <scheme val="minor"/>
    </font>
    <font>
      <b/>
      <sz val="10.5"/>
      <color rgb="FFFF0000"/>
      <name val="Calibri"/>
      <family val="2"/>
    </font>
    <font>
      <b/>
      <sz val="10"/>
      <color rgb="FF000000"/>
      <name val="Calibri"/>
      <family val="2"/>
    </font>
    <font>
      <sz val="11"/>
      <name val="Calibri"/>
      <family val="2"/>
      <scheme val="minor"/>
    </font>
    <font>
      <sz val="10"/>
      <color theme="1"/>
      <name val="Calibri"/>
      <family val="2"/>
    </font>
  </fonts>
  <fills count="18">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92D050"/>
        <bgColor rgb="FFD9E1F2"/>
      </patternFill>
    </fill>
    <fill>
      <patternFill patternType="solid">
        <fgColor theme="8" tint="0.59999389629810485"/>
        <bgColor rgb="FFD9E1F2"/>
      </patternFill>
    </fill>
    <fill>
      <patternFill patternType="solid">
        <fgColor theme="9" tint="0.79998168889431442"/>
        <bgColor rgb="FFD9E1F2"/>
      </patternFill>
    </fill>
    <fill>
      <patternFill patternType="solid">
        <fgColor theme="5"/>
        <bgColor rgb="FF2F5597"/>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FFFF00"/>
        <bgColor rgb="FF2F5597"/>
      </patternFill>
    </fill>
    <fill>
      <patternFill patternType="solid">
        <fgColor theme="9" tint="-0.249977111117893"/>
        <bgColor rgb="FF2F5597"/>
      </patternFill>
    </fill>
    <fill>
      <patternFill patternType="solid">
        <fgColor rgb="FFE2EFDA"/>
        <bgColor rgb="FFE2EFDA"/>
      </patternFill>
    </fill>
    <fill>
      <patternFill patternType="solid">
        <fgColor theme="7"/>
        <bgColor rgb="FF2F5597"/>
      </patternFill>
    </fill>
    <fill>
      <patternFill patternType="solid">
        <fgColor theme="9" tint="-0.249977111117893"/>
        <bgColor indexed="64"/>
      </patternFill>
    </fill>
    <fill>
      <patternFill patternType="solid">
        <fgColor theme="3"/>
        <bgColor indexed="64"/>
      </patternFill>
    </fill>
    <fill>
      <patternFill patternType="solid">
        <fgColor theme="3"/>
        <bgColor rgb="FF1F4E7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63">
    <xf numFmtId="0" fontId="0" fillId="0" borderId="0" xfId="0"/>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 fillId="7" borderId="1" xfId="0" applyFont="1" applyFill="1" applyBorder="1" applyAlignment="1">
      <alignment horizontal="center" vertical="center" wrapText="1"/>
    </xf>
    <xf numFmtId="0" fontId="0" fillId="0" borderId="0" xfId="0" applyAlignment="1">
      <alignment horizontal="center"/>
    </xf>
    <xf numFmtId="14" fontId="4" fillId="0" borderId="1" xfId="0" applyNumberFormat="1" applyFont="1" applyBorder="1" applyAlignment="1">
      <alignment horizontal="center" vertical="center"/>
    </xf>
    <xf numFmtId="0" fontId="5" fillId="0" borderId="0" xfId="0" applyFont="1"/>
    <xf numFmtId="14" fontId="10" fillId="0" borderId="1" xfId="0" applyNumberFormat="1"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horizontal="center" vertical="center"/>
    </xf>
    <xf numFmtId="14" fontId="11" fillId="0" borderId="1" xfId="0" applyNumberFormat="1" applyFont="1" applyBorder="1" applyAlignment="1">
      <alignment horizontal="center" vertical="center"/>
    </xf>
    <xf numFmtId="14" fontId="12" fillId="0" borderId="1" xfId="0" applyNumberFormat="1" applyFont="1" applyBorder="1" applyAlignment="1">
      <alignment horizontal="center" vertical="center"/>
    </xf>
    <xf numFmtId="0" fontId="9" fillId="0" borderId="0" xfId="0" applyFont="1"/>
    <xf numFmtId="0" fontId="13" fillId="3" borderId="1" xfId="0" applyFont="1" applyFill="1" applyBorder="1" applyAlignment="1">
      <alignment horizontal="center" vertical="center" wrapText="1"/>
    </xf>
    <xf numFmtId="0" fontId="14" fillId="0" borderId="0" xfId="0" applyFont="1"/>
    <xf numFmtId="0" fontId="1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15" fillId="9"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15" fillId="10"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4" fillId="10"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9" fillId="11" borderId="1" xfId="0" applyFont="1" applyFill="1" applyBorder="1" applyAlignment="1">
      <alignment horizontal="center" vertical="center" wrapText="1"/>
    </xf>
    <xf numFmtId="0" fontId="4" fillId="0" borderId="1" xfId="0" applyFont="1" applyBorder="1" applyAlignment="1">
      <alignment horizontal="left" vertical="center"/>
    </xf>
    <xf numFmtId="14" fontId="0" fillId="0" borderId="0" xfId="0" applyNumberFormat="1"/>
    <xf numFmtId="0" fontId="7" fillId="2" borderId="0" xfId="0" applyFont="1" applyFill="1" applyAlignment="1">
      <alignment vertical="center"/>
    </xf>
    <xf numFmtId="0" fontId="3" fillId="12"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14" fontId="4" fillId="0" borderId="1" xfId="0" applyNumberFormat="1" applyFont="1" applyBorder="1" applyAlignment="1">
      <alignment horizontal="left" vertical="center"/>
    </xf>
    <xf numFmtId="14" fontId="3" fillId="12" borderId="1" xfId="0" applyNumberFormat="1" applyFont="1" applyFill="1" applyBorder="1" applyAlignment="1">
      <alignment horizontal="center" vertical="center" wrapText="1"/>
    </xf>
    <xf numFmtId="0" fontId="20" fillId="13" borderId="1" xfId="0" applyFont="1" applyFill="1" applyBorder="1" applyAlignment="1">
      <alignment horizontal="center" vertical="center" wrapText="1"/>
    </xf>
    <xf numFmtId="0" fontId="21" fillId="0" borderId="0" xfId="0" applyFont="1"/>
    <xf numFmtId="0" fontId="11" fillId="8"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13" fillId="14" borderId="1" xfId="0" applyFont="1" applyFill="1" applyBorder="1" applyAlignment="1">
      <alignment horizontal="center" vertical="center" wrapText="1"/>
    </xf>
    <xf numFmtId="0" fontId="18" fillId="15" borderId="0" xfId="0" applyFont="1" applyFill="1" applyAlignment="1">
      <alignment horizontal="center" vertical="center"/>
    </xf>
    <xf numFmtId="0" fontId="17" fillId="15" borderId="0" xfId="0" applyFont="1" applyFill="1" applyAlignment="1">
      <alignment horizontal="center" vertical="center"/>
    </xf>
    <xf numFmtId="0" fontId="12" fillId="11" borderId="1" xfId="0" applyFont="1" applyFill="1" applyBorder="1" applyAlignment="1">
      <alignment horizontal="center" vertical="center" wrapText="1"/>
    </xf>
    <xf numFmtId="0" fontId="22" fillId="8" borderId="1" xfId="0" applyFont="1" applyFill="1" applyBorder="1" applyAlignment="1">
      <alignment horizontal="center" vertical="center"/>
    </xf>
    <xf numFmtId="0" fontId="22" fillId="9" borderId="1" xfId="0" applyFont="1" applyFill="1" applyBorder="1" applyAlignment="1">
      <alignment horizontal="center" vertical="center"/>
    </xf>
    <xf numFmtId="0" fontId="22" fillId="10" borderId="1" xfId="0" applyFont="1" applyFill="1" applyBorder="1" applyAlignment="1">
      <alignment horizontal="center" vertical="center"/>
    </xf>
    <xf numFmtId="0" fontId="4" fillId="0" borderId="2" xfId="0" applyFont="1" applyBorder="1" applyAlignment="1">
      <alignment horizontal="left" vertical="center"/>
    </xf>
    <xf numFmtId="0" fontId="0" fillId="16" borderId="0" xfId="0" applyFill="1"/>
    <xf numFmtId="0" fontId="7" fillId="17" borderId="0" xfId="0" applyFont="1" applyFill="1" applyAlignment="1">
      <alignment vertical="center"/>
    </xf>
    <xf numFmtId="14" fontId="7" fillId="17" borderId="0" xfId="0" applyNumberFormat="1" applyFont="1" applyFill="1" applyAlignment="1">
      <alignment vertical="center"/>
    </xf>
    <xf numFmtId="0" fontId="0" fillId="0" borderId="0" xfId="0" applyAlignment="1">
      <alignment wrapText="1"/>
    </xf>
    <xf numFmtId="0" fontId="7" fillId="2" borderId="0" xfId="0" applyFont="1" applyFill="1" applyAlignment="1">
      <alignment horizontal="center" vertical="center"/>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35291</xdr:rowOff>
    </xdr:from>
    <xdr:to>
      <xdr:col>13</xdr:col>
      <xdr:colOff>196850</xdr:colOff>
      <xdr:row>25</xdr:row>
      <xdr:rowOff>135847</xdr:rowOff>
    </xdr:to>
    <xdr:pic>
      <xdr:nvPicPr>
        <xdr:cNvPr id="3" name="Picture 2">
          <a:extLst>
            <a:ext uri="{FF2B5EF4-FFF2-40B4-BE49-F238E27FC236}">
              <a16:creationId xmlns:a16="http://schemas.microsoft.com/office/drawing/2014/main" id="{9C1C43AD-2070-4B87-8940-F0FCF25341EB}"/>
            </a:ext>
          </a:extLst>
        </xdr:cNvPr>
        <xdr:cNvPicPr>
          <a:picLocks noChangeAspect="1"/>
        </xdr:cNvPicPr>
      </xdr:nvPicPr>
      <xdr:blipFill>
        <a:blip xmlns:r="http://schemas.openxmlformats.org/officeDocument/2006/relationships" r:embed="rId1"/>
        <a:stretch>
          <a:fillRect/>
        </a:stretch>
      </xdr:blipFill>
      <xdr:spPr>
        <a:xfrm>
          <a:off x="19050" y="35291"/>
          <a:ext cx="8102600" cy="4704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2224-F42B-4ACB-ABCA-313C1EE58E2D}">
  <sheetPr>
    <tabColor theme="5"/>
  </sheetPr>
  <dimension ref="A1:S70"/>
  <sheetViews>
    <sheetView tabSelected="1" zoomScale="70" zoomScaleNormal="70" workbookViewId="0">
      <pane xSplit="7" ySplit="4" topLeftCell="H5" activePane="bottomRight" state="frozen"/>
      <selection pane="topRight" activeCell="I1" sqref="I1"/>
      <selection pane="bottomLeft" activeCell="A5" sqref="A5"/>
      <selection pane="bottomRight" activeCell="L5" sqref="L5"/>
    </sheetView>
  </sheetViews>
  <sheetFormatPr defaultRowHeight="15" x14ac:dyDescent="0.25"/>
  <cols>
    <col min="1" max="1" width="3.5703125" bestFit="1" customWidth="1"/>
    <col min="2" max="2" width="6" bestFit="1" customWidth="1"/>
    <col min="3" max="3" width="28.140625" customWidth="1"/>
    <col min="4" max="4" width="12" customWidth="1"/>
    <col min="5" max="5" width="12.42578125" style="13" customWidth="1"/>
    <col min="7" max="7" width="8.28515625" bestFit="1" customWidth="1"/>
    <col min="8" max="8" width="30.42578125" customWidth="1"/>
    <col min="9" max="9" width="12.42578125" style="38" customWidth="1"/>
    <col min="10" max="10" width="12.5703125" customWidth="1"/>
    <col min="11" max="11" width="21.28515625" customWidth="1"/>
    <col min="12" max="12" width="11" bestFit="1" customWidth="1"/>
    <col min="13" max="13" width="25.140625" customWidth="1"/>
    <col min="14" max="14" width="23.85546875" customWidth="1"/>
    <col min="15" max="15" width="15.28515625" customWidth="1"/>
    <col min="16" max="16" width="14.7109375" customWidth="1"/>
    <col min="17" max="17" width="14.85546875" customWidth="1"/>
    <col min="18" max="18" width="24.5703125" customWidth="1"/>
    <col min="19" max="19" width="26.85546875" style="60" customWidth="1"/>
  </cols>
  <sheetData>
    <row r="1" spans="1:19" x14ac:dyDescent="0.25">
      <c r="E1"/>
      <c r="S1"/>
    </row>
    <row r="2" spans="1:19" ht="18.75" x14ac:dyDescent="0.25">
      <c r="A2" s="58" t="s">
        <v>466</v>
      </c>
      <c r="B2" s="58"/>
      <c r="C2" s="58"/>
      <c r="D2" s="58"/>
      <c r="E2" s="58"/>
      <c r="F2" s="58"/>
      <c r="G2" s="58"/>
      <c r="H2" s="58"/>
      <c r="I2" s="59"/>
      <c r="J2" s="58"/>
      <c r="K2" s="58"/>
      <c r="L2" s="58"/>
      <c r="M2" s="58"/>
      <c r="N2" s="57"/>
      <c r="O2" s="57"/>
      <c r="P2" s="57"/>
      <c r="Q2" s="57"/>
      <c r="R2" s="57"/>
      <c r="S2" s="57"/>
    </row>
    <row r="3" spans="1:19" x14ac:dyDescent="0.25">
      <c r="A3" s="50" t="s">
        <v>484</v>
      </c>
      <c r="B3" s="50" t="s">
        <v>484</v>
      </c>
      <c r="C3" s="50" t="s">
        <v>484</v>
      </c>
      <c r="D3" s="23" t="s">
        <v>484</v>
      </c>
      <c r="E3" s="23" t="s">
        <v>484</v>
      </c>
      <c r="F3" s="23" t="s">
        <v>484</v>
      </c>
      <c r="G3" s="23" t="s">
        <v>484</v>
      </c>
      <c r="H3" s="51" t="s">
        <v>484</v>
      </c>
      <c r="I3" s="51" t="s">
        <v>484</v>
      </c>
      <c r="J3" s="51" t="s">
        <v>484</v>
      </c>
      <c r="K3" s="51" t="s">
        <v>484</v>
      </c>
      <c r="L3" s="23" t="s">
        <v>485</v>
      </c>
      <c r="M3" s="23"/>
      <c r="N3" s="23"/>
      <c r="O3" s="23" t="s">
        <v>485</v>
      </c>
      <c r="P3" s="44" t="s">
        <v>6</v>
      </c>
      <c r="Q3" s="44" t="s">
        <v>6</v>
      </c>
      <c r="R3" s="44" t="s">
        <v>6</v>
      </c>
      <c r="S3" s="44" t="s">
        <v>6</v>
      </c>
    </row>
    <row r="4" spans="1:19" ht="38.25" x14ac:dyDescent="0.25">
      <c r="A4" s="41" t="s">
        <v>1</v>
      </c>
      <c r="B4" s="41" t="s">
        <v>2</v>
      </c>
      <c r="C4" s="41" t="s">
        <v>3</v>
      </c>
      <c r="D4" s="23" t="s">
        <v>4</v>
      </c>
      <c r="E4" s="23" t="s">
        <v>334</v>
      </c>
      <c r="F4" s="23" t="s">
        <v>467</v>
      </c>
      <c r="G4" s="23" t="s">
        <v>468</v>
      </c>
      <c r="H4" s="40" t="s">
        <v>482</v>
      </c>
      <c r="I4" s="43" t="s">
        <v>474</v>
      </c>
      <c r="J4" s="40" t="s">
        <v>475</v>
      </c>
      <c r="K4" s="40" t="s">
        <v>565</v>
      </c>
      <c r="L4" s="23" t="s">
        <v>337</v>
      </c>
      <c r="M4" s="23" t="s">
        <v>332</v>
      </c>
      <c r="N4" s="23" t="s">
        <v>7</v>
      </c>
      <c r="O4" s="23" t="s">
        <v>473</v>
      </c>
      <c r="P4" s="44" t="s">
        <v>477</v>
      </c>
      <c r="Q4" s="44" t="s">
        <v>481</v>
      </c>
      <c r="R4" s="44" t="s">
        <v>478</v>
      </c>
      <c r="S4" s="44" t="s">
        <v>480</v>
      </c>
    </row>
    <row r="5" spans="1:19" ht="54" customHeight="1" x14ac:dyDescent="0.25">
      <c r="A5" s="3">
        <v>1</v>
      </c>
      <c r="B5" s="3" t="s">
        <v>563</v>
      </c>
      <c r="C5" s="37" t="s">
        <v>564</v>
      </c>
      <c r="D5" s="12">
        <f>IFERROR(VLOOKUP(B5,'HỒ SƠ BH_XD&amp;ME_BOQ PHÁT HÀNH'!B:D,3,0),"")</f>
        <v>46141</v>
      </c>
      <c r="E5" s="12">
        <f>IFERROR(VLOOKUP(B5,'HỒ SƠ BH_XD&amp;ME_BOQ PHÁT HÀNH'!B:E,4,0),"")</f>
        <v>46506</v>
      </c>
      <c r="F5" s="12" t="str">
        <f>IFERROR(VLOOKUP(B5,'HỒ SƠ BH_XD&amp;ME_BOQ PHÁT HÀNH'!B:F,5,0),"")</f>
        <v>Miền Nam</v>
      </c>
      <c r="G5" s="12" t="str">
        <f>IFERROR(VLOOKUP(B5,'HỒ SƠ BH_XD&amp;ME_BOQ PHÁT HÀNH'!B:G,6,0),"")</f>
        <v>Phú Mỹ</v>
      </c>
      <c r="H5" s="37" t="s">
        <v>519</v>
      </c>
      <c r="I5" s="42">
        <v>46266</v>
      </c>
      <c r="J5" s="37" t="s">
        <v>476</v>
      </c>
      <c r="K5" s="4" t="s">
        <v>576</v>
      </c>
      <c r="L5" s="26" t="str">
        <f>IFERROR(VLOOKUP(H5,'DATA QUY ĐỔI BH'!E:F,2,0),"")</f>
        <v>BHXDA026</v>
      </c>
      <c r="M5" s="24" t="str">
        <f>IFERROR(VLOOKUP(L5,'DATA QUY ĐỔI BH'!B:C,2,0),"")</f>
        <v>Nhóm thi công xây dựng</v>
      </c>
      <c r="N5" s="24" t="str">
        <f>IFERROR(VLOOKUP(L5,'DATA QUY ĐỔI BH'!B:D,3,0),"")</f>
        <v>Nhóm thi công mái</v>
      </c>
      <c r="O5" s="24" t="str">
        <f>IF(N5&lt;&gt;"", "Được bảo hành", "")</f>
        <v>Được bảo hành</v>
      </c>
      <c r="P5" s="37" t="s">
        <v>479</v>
      </c>
      <c r="Q5" s="12">
        <f t="shared" ref="Q5:Q13" si="0">I5+3</f>
        <v>46269</v>
      </c>
      <c r="R5" s="4" t="s">
        <v>584</v>
      </c>
      <c r="S5" s="4" t="s">
        <v>579</v>
      </c>
    </row>
    <row r="6" spans="1:19" ht="54" customHeight="1" x14ac:dyDescent="0.25">
      <c r="A6" s="3">
        <v>2</v>
      </c>
      <c r="B6" s="3" t="s">
        <v>563</v>
      </c>
      <c r="C6" s="37" t="s">
        <v>564</v>
      </c>
      <c r="D6" s="12">
        <f>IFERROR(VLOOKUP(B6,'HỒ SƠ BH_XD&amp;ME_BOQ PHÁT HÀNH'!B:D,3,0),"")</f>
        <v>46141</v>
      </c>
      <c r="E6" s="12">
        <f>IFERROR(VLOOKUP(B6,'HỒ SƠ BH_XD&amp;ME_BOQ PHÁT HÀNH'!B:E,4,0),"")</f>
        <v>46506</v>
      </c>
      <c r="F6" s="12" t="str">
        <f>IFERROR(VLOOKUP(B6,'HỒ SƠ BH_XD&amp;ME_BOQ PHÁT HÀNH'!B:F,5,0),"")</f>
        <v>Miền Nam</v>
      </c>
      <c r="G6" s="12" t="str">
        <f>IFERROR(VLOOKUP(B6,'HỒ SƠ BH_XD&amp;ME_BOQ PHÁT HÀNH'!B:G,6,0),"")</f>
        <v>Phú Mỹ</v>
      </c>
      <c r="H6" s="37" t="s">
        <v>499</v>
      </c>
      <c r="I6" s="42">
        <v>46266</v>
      </c>
      <c r="J6" s="37" t="s">
        <v>476</v>
      </c>
      <c r="K6" s="4" t="s">
        <v>566</v>
      </c>
      <c r="L6" s="26" t="str">
        <f>IFERROR(VLOOKUP(H6,'DATA QUY ĐỔI BH'!E:F,2,0),"")</f>
        <v>BHXDA002</v>
      </c>
      <c r="M6" s="24" t="str">
        <f>IFERROR(VLOOKUP(L6,'DATA QUY ĐỔI BH'!B:C,2,0),"")</f>
        <v>Nhóm thi công xây dựng</v>
      </c>
      <c r="N6" s="24" t="str">
        <f>IFERROR(VLOOKUP(L6,'DATA QUY ĐỔI BH'!B:D,3,0),"")</f>
        <v>Nhóm thi công nền</v>
      </c>
      <c r="O6" s="24" t="str">
        <f t="shared" ref="O6:O67" si="1">IF(N6&lt;&gt;"", "Được bảo hành", "")</f>
        <v>Được bảo hành</v>
      </c>
      <c r="P6" s="37" t="s">
        <v>479</v>
      </c>
      <c r="Q6" s="12">
        <f t="shared" si="0"/>
        <v>46269</v>
      </c>
      <c r="R6" s="4" t="s">
        <v>584</v>
      </c>
      <c r="S6" s="4" t="s">
        <v>580</v>
      </c>
    </row>
    <row r="7" spans="1:19" ht="54" customHeight="1" x14ac:dyDescent="0.25">
      <c r="A7" s="3">
        <v>3</v>
      </c>
      <c r="B7" s="3" t="s">
        <v>563</v>
      </c>
      <c r="C7" s="37" t="s">
        <v>564</v>
      </c>
      <c r="D7" s="12">
        <f>IFERROR(VLOOKUP(B7,'HỒ SƠ BH_XD&amp;ME_BOQ PHÁT HÀNH'!B:D,3,0),"")</f>
        <v>46141</v>
      </c>
      <c r="E7" s="12">
        <f>IFERROR(VLOOKUP(B7,'HỒ SƠ BH_XD&amp;ME_BOQ PHÁT HÀNH'!B:E,4,0),"")</f>
        <v>46506</v>
      </c>
      <c r="F7" s="12" t="str">
        <f>IFERROR(VLOOKUP(B7,'HỒ SƠ BH_XD&amp;ME_BOQ PHÁT HÀNH'!B:F,5,0),"")</f>
        <v>Miền Nam</v>
      </c>
      <c r="G7" s="12" t="str">
        <f>IFERROR(VLOOKUP(B7,'HỒ SƠ BH_XD&amp;ME_BOQ PHÁT HÀNH'!B:G,6,0),"")</f>
        <v>Phú Mỹ</v>
      </c>
      <c r="H7" s="37" t="s">
        <v>408</v>
      </c>
      <c r="I7" s="42">
        <v>46266</v>
      </c>
      <c r="J7" s="37" t="s">
        <v>476</v>
      </c>
      <c r="K7" s="4" t="s">
        <v>567</v>
      </c>
      <c r="L7" s="26" t="str">
        <f>IFERROR(VLOOKUP(H7,'DATA QUY ĐỔI BH'!E:F,2,0),"")</f>
        <v>BHXDA012</v>
      </c>
      <c r="M7" s="24" t="str">
        <f>IFERROR(VLOOKUP(L7,'DATA QUY ĐỔI BH'!B:C,2,0),"")</f>
        <v>Nhóm thi công xây dựng</v>
      </c>
      <c r="N7" s="24" t="str">
        <f>IFERROR(VLOOKUP(L7,'DATA QUY ĐỔI BH'!B:D,3,0),"")</f>
        <v>Nhóm thi công cửa</v>
      </c>
      <c r="O7" s="24" t="str">
        <f t="shared" si="1"/>
        <v>Được bảo hành</v>
      </c>
      <c r="P7" s="37" t="s">
        <v>479</v>
      </c>
      <c r="Q7" s="12">
        <f t="shared" si="0"/>
        <v>46269</v>
      </c>
      <c r="R7" s="4" t="s">
        <v>585</v>
      </c>
      <c r="S7" s="4" t="s">
        <v>577</v>
      </c>
    </row>
    <row r="8" spans="1:19" ht="54" customHeight="1" x14ac:dyDescent="0.25">
      <c r="A8" s="3">
        <v>4</v>
      </c>
      <c r="B8" s="3" t="s">
        <v>563</v>
      </c>
      <c r="C8" s="37" t="s">
        <v>564</v>
      </c>
      <c r="D8" s="12">
        <f>IFERROR(VLOOKUP(B8,'HỒ SƠ BH_XD&amp;ME_BOQ PHÁT HÀNH'!B:D,3,0),"")</f>
        <v>46141</v>
      </c>
      <c r="E8" s="12">
        <f>IFERROR(VLOOKUP(B8,'HỒ SƠ BH_XD&amp;ME_BOQ PHÁT HÀNH'!B:E,4,0),"")</f>
        <v>46506</v>
      </c>
      <c r="F8" s="12" t="str">
        <f>IFERROR(VLOOKUP(B8,'HỒ SƠ BH_XD&amp;ME_BOQ PHÁT HÀNH'!B:F,5,0),"")</f>
        <v>Miền Nam</v>
      </c>
      <c r="G8" s="12" t="str">
        <f>IFERROR(VLOOKUP(B8,'HỒ SƠ BH_XD&amp;ME_BOQ PHÁT HÀNH'!B:G,6,0),"")</f>
        <v>Phú Mỹ</v>
      </c>
      <c r="H8" s="37" t="s">
        <v>506</v>
      </c>
      <c r="I8" s="42">
        <v>46266</v>
      </c>
      <c r="J8" s="37" t="s">
        <v>476</v>
      </c>
      <c r="K8" s="4" t="s">
        <v>568</v>
      </c>
      <c r="L8" s="26" t="str">
        <f>IFERROR(VLOOKUP(H8,'DATA QUY ĐỔI BH'!E:F,2,0),"")</f>
        <v>BHXDA013</v>
      </c>
      <c r="M8" s="24" t="str">
        <f>IFERROR(VLOOKUP(L8,'DATA QUY ĐỔI BH'!B:C,2,0),"")</f>
        <v>Nhóm thi công xây dựng</v>
      </c>
      <c r="N8" s="24" t="str">
        <f>IFERROR(VLOOKUP(L8,'DATA QUY ĐỔI BH'!B:D,3,0),"")</f>
        <v>Nhóm thi công cửa</v>
      </c>
      <c r="O8" s="24" t="str">
        <f t="shared" si="1"/>
        <v>Được bảo hành</v>
      </c>
      <c r="P8" s="37" t="s">
        <v>479</v>
      </c>
      <c r="Q8" s="12">
        <f t="shared" si="0"/>
        <v>46269</v>
      </c>
      <c r="R8" s="4" t="s">
        <v>585</v>
      </c>
      <c r="S8" s="4" t="s">
        <v>577</v>
      </c>
    </row>
    <row r="9" spans="1:19" ht="54" customHeight="1" x14ac:dyDescent="0.25">
      <c r="A9" s="3">
        <v>5</v>
      </c>
      <c r="B9" s="3" t="s">
        <v>563</v>
      </c>
      <c r="C9" s="37" t="s">
        <v>564</v>
      </c>
      <c r="D9" s="12">
        <f>IFERROR(VLOOKUP(B9,'HỒ SƠ BH_XD&amp;ME_BOQ PHÁT HÀNH'!B:D,3,0),"")</f>
        <v>46141</v>
      </c>
      <c r="E9" s="12">
        <f>IFERROR(VLOOKUP(B9,'HỒ SƠ BH_XD&amp;ME_BOQ PHÁT HÀNH'!B:E,4,0),"")</f>
        <v>46506</v>
      </c>
      <c r="F9" s="12" t="str">
        <f>IFERROR(VLOOKUP(B9,'HỒ SƠ BH_XD&amp;ME_BOQ PHÁT HÀNH'!B:F,5,0),"")</f>
        <v>Miền Nam</v>
      </c>
      <c r="G9" s="12" t="str">
        <f>IFERROR(VLOOKUP(B9,'HỒ SƠ BH_XD&amp;ME_BOQ PHÁT HÀNH'!B:G,6,0),"")</f>
        <v>Phú Mỹ</v>
      </c>
      <c r="H9" s="37" t="s">
        <v>569</v>
      </c>
      <c r="I9" s="42">
        <v>46266</v>
      </c>
      <c r="J9" s="37" t="s">
        <v>476</v>
      </c>
      <c r="K9" s="4" t="s">
        <v>570</v>
      </c>
      <c r="L9" s="26" t="str">
        <f>IFERROR(VLOOKUP(H9,'DATA QUY ĐỔI BH'!E:F,2,0),"")</f>
        <v>BHXDA045</v>
      </c>
      <c r="M9" s="24" t="str">
        <f>IFERROR(VLOOKUP(L9,'DATA QUY ĐỔI BH'!B:C,2,0),"")</f>
        <v>Nhóm thi công cơ điện</v>
      </c>
      <c r="N9" s="24" t="str">
        <f>IFERROR(VLOOKUP(L9,'DATA QUY ĐỔI BH'!B:D,3,0),"")</f>
        <v>Nhóm thi công ĐHKK</v>
      </c>
      <c r="O9" s="24" t="str">
        <f t="shared" si="1"/>
        <v>Được bảo hành</v>
      </c>
      <c r="P9" s="37" t="s">
        <v>479</v>
      </c>
      <c r="Q9" s="12">
        <f t="shared" si="0"/>
        <v>46269</v>
      </c>
      <c r="R9" s="4" t="s">
        <v>586</v>
      </c>
      <c r="S9" s="4" t="s">
        <v>578</v>
      </c>
    </row>
    <row r="10" spans="1:19" ht="54" customHeight="1" x14ac:dyDescent="0.25">
      <c r="A10" s="3">
        <v>6</v>
      </c>
      <c r="B10" s="3" t="s">
        <v>563</v>
      </c>
      <c r="C10" s="37" t="s">
        <v>564</v>
      </c>
      <c r="D10" s="12">
        <f>IFERROR(VLOOKUP(B10,'HỒ SƠ BH_XD&amp;ME_BOQ PHÁT HÀNH'!B:D,3,0),"")</f>
        <v>46141</v>
      </c>
      <c r="E10" s="12">
        <f>IFERROR(VLOOKUP(B10,'HỒ SƠ BH_XD&amp;ME_BOQ PHÁT HÀNH'!B:E,4,0),"")</f>
        <v>46506</v>
      </c>
      <c r="F10" s="12" t="str">
        <f>IFERROR(VLOOKUP(B10,'HỒ SƠ BH_XD&amp;ME_BOQ PHÁT HÀNH'!B:F,5,0),"")</f>
        <v>Miền Nam</v>
      </c>
      <c r="G10" s="12" t="str">
        <f>IFERROR(VLOOKUP(B10,'HỒ SƠ BH_XD&amp;ME_BOQ PHÁT HÀNH'!B:G,6,0),"")</f>
        <v>Phú Mỹ</v>
      </c>
      <c r="H10" s="37" t="s">
        <v>512</v>
      </c>
      <c r="I10" s="42">
        <v>46266</v>
      </c>
      <c r="J10" s="37" t="s">
        <v>476</v>
      </c>
      <c r="K10" s="4" t="s">
        <v>572</v>
      </c>
      <c r="L10" s="26" t="str">
        <f>IFERROR(VLOOKUP(H10,'DATA QUY ĐỔI BH'!E:F,2,0),"")</f>
        <v>BHXDA019</v>
      </c>
      <c r="M10" s="24" t="str">
        <f>IFERROR(VLOOKUP(L10,'DATA QUY ĐỔI BH'!B:C,2,0),"")</f>
        <v>Nhóm thi công xây dựng</v>
      </c>
      <c r="N10" s="24" t="str">
        <f>IFERROR(VLOOKUP(L10,'DATA QUY ĐỔI BH'!B:D,3,0),"")</f>
        <v>Nhóm thi công mái</v>
      </c>
      <c r="O10" s="24" t="str">
        <f t="shared" si="1"/>
        <v>Được bảo hành</v>
      </c>
      <c r="P10" s="37" t="s">
        <v>479</v>
      </c>
      <c r="Q10" s="12">
        <f t="shared" si="0"/>
        <v>46269</v>
      </c>
      <c r="R10" s="4" t="s">
        <v>589</v>
      </c>
      <c r="S10" s="4" t="s">
        <v>581</v>
      </c>
    </row>
    <row r="11" spans="1:19" ht="114.75" customHeight="1" x14ac:dyDescent="0.25">
      <c r="A11" s="3">
        <v>7</v>
      </c>
      <c r="B11" s="3" t="s">
        <v>563</v>
      </c>
      <c r="C11" s="37" t="s">
        <v>564</v>
      </c>
      <c r="D11" s="12">
        <f>IFERROR(VLOOKUP(B11,'HỒ SƠ BH_XD&amp;ME_BOQ PHÁT HÀNH'!B:D,3,0),"")</f>
        <v>46141</v>
      </c>
      <c r="E11" s="12">
        <f>IFERROR(VLOOKUP(B11,'HỒ SƠ BH_XD&amp;ME_BOQ PHÁT HÀNH'!B:E,4,0),"")</f>
        <v>46506</v>
      </c>
      <c r="F11" s="12" t="str">
        <f>IFERROR(VLOOKUP(B11,'HỒ SƠ BH_XD&amp;ME_BOQ PHÁT HÀNH'!B:F,5,0),"")</f>
        <v>Miền Nam</v>
      </c>
      <c r="G11" s="12" t="str">
        <f>IFERROR(VLOOKUP(B11,'HỒ SƠ BH_XD&amp;ME_BOQ PHÁT HÀNH'!B:G,6,0),"")</f>
        <v>Phú Mỹ</v>
      </c>
      <c r="H11" s="37" t="s">
        <v>588</v>
      </c>
      <c r="I11" s="42">
        <v>46266</v>
      </c>
      <c r="J11" s="37" t="s">
        <v>476</v>
      </c>
      <c r="K11" s="4" t="s">
        <v>573</v>
      </c>
      <c r="L11" s="26" t="str">
        <f>IFERROR(VLOOKUP(H11,'DATA QUY ĐỔI BH'!E:F,2,0),"")</f>
        <v>BHXDA005</v>
      </c>
      <c r="M11" s="24" t="str">
        <f>IFERROR(VLOOKUP(L11,'DATA QUY ĐỔI BH'!B:C,2,0),"")</f>
        <v>Nhóm thi công xây dựng</v>
      </c>
      <c r="N11" s="24" t="str">
        <f>IFERROR(VLOOKUP(L11,'DATA QUY ĐỔI BH'!B:D,3,0),"")</f>
        <v>Nhóm thi công tường/ vách</v>
      </c>
      <c r="O11" s="24" t="str">
        <f t="shared" si="1"/>
        <v>Được bảo hành</v>
      </c>
      <c r="P11" s="37" t="s">
        <v>479</v>
      </c>
      <c r="Q11" s="12">
        <f t="shared" si="0"/>
        <v>46269</v>
      </c>
      <c r="R11" s="4" t="s">
        <v>591</v>
      </c>
      <c r="S11" s="4" t="s">
        <v>590</v>
      </c>
    </row>
    <row r="12" spans="1:19" ht="54" customHeight="1" x14ac:dyDescent="0.25">
      <c r="A12" s="3">
        <v>8</v>
      </c>
      <c r="B12" s="3" t="s">
        <v>563</v>
      </c>
      <c r="C12" s="37" t="s">
        <v>564</v>
      </c>
      <c r="D12" s="12">
        <f>IFERROR(VLOOKUP(B12,'HỒ SƠ BH_XD&amp;ME_BOQ PHÁT HÀNH'!B:D,3,0),"")</f>
        <v>46141</v>
      </c>
      <c r="E12" s="12">
        <f>IFERROR(VLOOKUP(B12,'HỒ SƠ BH_XD&amp;ME_BOQ PHÁT HÀNH'!B:E,4,0),"")</f>
        <v>46506</v>
      </c>
      <c r="F12" s="12" t="str">
        <f>IFERROR(VLOOKUP(B12,'HỒ SƠ BH_XD&amp;ME_BOQ PHÁT HÀNH'!B:F,5,0),"")</f>
        <v>Miền Nam</v>
      </c>
      <c r="G12" s="12" t="str">
        <f>IFERROR(VLOOKUP(B12,'HỒ SƠ BH_XD&amp;ME_BOQ PHÁT HÀNH'!B:G,6,0),"")</f>
        <v>Phú Mỹ</v>
      </c>
      <c r="H12" s="37" t="s">
        <v>540</v>
      </c>
      <c r="I12" s="42">
        <v>46266</v>
      </c>
      <c r="J12" s="37" t="s">
        <v>476</v>
      </c>
      <c r="K12" s="4" t="s">
        <v>574</v>
      </c>
      <c r="L12" s="26" t="str">
        <f>IFERROR(VLOOKUP(H12,'DATA QUY ĐỔI BH'!E:F,2,0),"")</f>
        <v>BHXDA038</v>
      </c>
      <c r="M12" s="24" t="str">
        <f>IFERROR(VLOOKUP(L12,'DATA QUY ĐỔI BH'!B:C,2,0),"")</f>
        <v>Nhóm thi công cơ điện</v>
      </c>
      <c r="N12" s="24" t="str">
        <f>IFERROR(VLOOKUP(L12,'DATA QUY ĐỔI BH'!B:D,3,0),"")</f>
        <v>Nhóm TTB điện</v>
      </c>
      <c r="O12" s="24" t="str">
        <f t="shared" si="1"/>
        <v>Được bảo hành</v>
      </c>
      <c r="P12" s="37" t="s">
        <v>479</v>
      </c>
      <c r="Q12" s="12">
        <f t="shared" si="0"/>
        <v>46269</v>
      </c>
      <c r="R12" s="4" t="s">
        <v>585</v>
      </c>
      <c r="S12" s="4" t="s">
        <v>582</v>
      </c>
    </row>
    <row r="13" spans="1:19" ht="65.25" customHeight="1" x14ac:dyDescent="0.25">
      <c r="A13" s="3">
        <v>9</v>
      </c>
      <c r="B13" s="3" t="s">
        <v>563</v>
      </c>
      <c r="C13" s="37" t="s">
        <v>564</v>
      </c>
      <c r="D13" s="12">
        <f>IFERROR(VLOOKUP(B13,'HỒ SƠ BH_XD&amp;ME_BOQ PHÁT HÀNH'!B:D,3,0),"")</f>
        <v>46141</v>
      </c>
      <c r="E13" s="12">
        <f>IFERROR(VLOOKUP(B13,'HỒ SƠ BH_XD&amp;ME_BOQ PHÁT HÀNH'!B:E,4,0),"")</f>
        <v>46506</v>
      </c>
      <c r="F13" s="12" t="str">
        <f>IFERROR(VLOOKUP(B13,'HỒ SƠ BH_XD&amp;ME_BOQ PHÁT HÀNH'!B:F,5,0),"")</f>
        <v>Miền Nam</v>
      </c>
      <c r="G13" s="12" t="str">
        <f>IFERROR(VLOOKUP(B13,'HỒ SƠ BH_XD&amp;ME_BOQ PHÁT HÀNH'!B:G,6,0),"")</f>
        <v>Phú Mỹ</v>
      </c>
      <c r="H13" s="37" t="s">
        <v>517</v>
      </c>
      <c r="I13" s="42">
        <v>46266</v>
      </c>
      <c r="J13" s="37" t="s">
        <v>476</v>
      </c>
      <c r="K13" s="4" t="s">
        <v>575</v>
      </c>
      <c r="L13" s="26" t="str">
        <f>IFERROR(VLOOKUP(H13,'DATA QUY ĐỔI BH'!E:F,2,0),"")</f>
        <v>BHXDA023</v>
      </c>
      <c r="M13" s="24" t="str">
        <f>IFERROR(VLOOKUP(L13,'DATA QUY ĐỔI BH'!B:C,2,0),"")</f>
        <v>Nhóm thi công xây dựng</v>
      </c>
      <c r="N13" s="24" t="str">
        <f>IFERROR(VLOOKUP(L13,'DATA QUY ĐỔI BH'!B:D,3,0),"")</f>
        <v>Nhóm thi công máng</v>
      </c>
      <c r="O13" s="24" t="str">
        <f t="shared" si="1"/>
        <v>Được bảo hành</v>
      </c>
      <c r="P13" s="37" t="s">
        <v>479</v>
      </c>
      <c r="Q13" s="12">
        <f t="shared" si="0"/>
        <v>46269</v>
      </c>
      <c r="R13" s="4" t="s">
        <v>592</v>
      </c>
      <c r="S13" s="4" t="s">
        <v>583</v>
      </c>
    </row>
    <row r="14" spans="1:19" x14ac:dyDescent="0.25">
      <c r="A14" s="3">
        <v>10</v>
      </c>
      <c r="B14" s="3"/>
      <c r="C14" s="37"/>
      <c r="D14" s="12" t="str">
        <f>IFERROR(VLOOKUP(B14,'HỒ SƠ BH_XD&amp;ME_BOQ PHÁT HÀNH'!B:D,3,0),"")</f>
        <v/>
      </c>
      <c r="E14" s="12" t="str">
        <f>IFERROR(VLOOKUP(B14,'HỒ SƠ BH_XD&amp;ME_BOQ PHÁT HÀNH'!B:E,4,0),"")</f>
        <v/>
      </c>
      <c r="F14" s="12" t="str">
        <f>IFERROR(VLOOKUP(B14,'HỒ SƠ BH_XD&amp;ME_BOQ PHÁT HÀNH'!B:F,5,0),"")</f>
        <v/>
      </c>
      <c r="G14" s="12" t="str">
        <f>IFERROR(VLOOKUP(B14,'HỒ SƠ BH_XD&amp;ME_BOQ PHÁT HÀNH'!B:G,6,0),"")</f>
        <v/>
      </c>
      <c r="H14" s="37"/>
      <c r="I14" s="42"/>
      <c r="J14" s="37"/>
      <c r="K14" s="4"/>
      <c r="L14" s="26" t="str">
        <f>IFERROR(VLOOKUP(H14,'DATA QUY ĐỔI BH'!E:F,2,0),"")</f>
        <v/>
      </c>
      <c r="M14" s="24" t="str">
        <f>IFERROR(VLOOKUP(L14,'DATA QUY ĐỔI BH'!B:C,2,0),"")</f>
        <v/>
      </c>
      <c r="N14" s="24" t="str">
        <f>IFERROR(VLOOKUP(L14,'DATA QUY ĐỔI BH'!B:D,3,0),"")</f>
        <v/>
      </c>
      <c r="O14" s="24" t="str">
        <f t="shared" si="1"/>
        <v/>
      </c>
      <c r="P14" s="37"/>
      <c r="Q14" s="12"/>
      <c r="R14" s="4"/>
      <c r="S14" s="4"/>
    </row>
    <row r="15" spans="1:19" x14ac:dyDescent="0.25">
      <c r="A15" s="3">
        <v>11</v>
      </c>
      <c r="B15" s="3"/>
      <c r="C15" s="37"/>
      <c r="D15" s="12" t="str">
        <f>IFERROR(VLOOKUP(B15,'HỒ SƠ BH_XD&amp;ME_BOQ PHÁT HÀNH'!B:D,3,0),"")</f>
        <v/>
      </c>
      <c r="E15" s="12" t="str">
        <f>IFERROR(VLOOKUP(B15,'HỒ SƠ BH_XD&amp;ME_BOQ PHÁT HÀNH'!B:E,4,0),"")</f>
        <v/>
      </c>
      <c r="F15" s="12" t="str">
        <f>IFERROR(VLOOKUP(B15,'HỒ SƠ BH_XD&amp;ME_BOQ PHÁT HÀNH'!B:F,5,0),"")</f>
        <v/>
      </c>
      <c r="G15" s="12" t="str">
        <f>IFERROR(VLOOKUP(B15,'HỒ SƠ BH_XD&amp;ME_BOQ PHÁT HÀNH'!B:G,6,0),"")</f>
        <v/>
      </c>
      <c r="H15" s="37"/>
      <c r="I15" s="42"/>
      <c r="J15" s="37"/>
      <c r="K15" s="4"/>
      <c r="L15" s="26" t="str">
        <f>IFERROR(VLOOKUP(H15,'DATA QUY ĐỔI BH'!E:F,2,0),"")</f>
        <v/>
      </c>
      <c r="M15" s="24" t="str">
        <f>IFERROR(VLOOKUP(L15,'DATA QUY ĐỔI BH'!B:C,2,0),"")</f>
        <v/>
      </c>
      <c r="N15" s="24" t="str">
        <f>IFERROR(VLOOKUP(L15,'DATA QUY ĐỔI BH'!B:D,3,0),"")</f>
        <v/>
      </c>
      <c r="O15" s="24" t="str">
        <f t="shared" si="1"/>
        <v/>
      </c>
      <c r="Q15" s="12"/>
    </row>
    <row r="16" spans="1:19" x14ac:dyDescent="0.25">
      <c r="A16" s="3">
        <v>12</v>
      </c>
      <c r="B16" s="3"/>
      <c r="C16" s="37"/>
      <c r="D16" s="12" t="str">
        <f>IFERROR(VLOOKUP(B16,'HỒ SƠ BH_XD&amp;ME_BOQ PHÁT HÀNH'!B:D,3,0),"")</f>
        <v/>
      </c>
      <c r="E16" s="12" t="str">
        <f>IFERROR(VLOOKUP(B16,'HỒ SƠ BH_XD&amp;ME_BOQ PHÁT HÀNH'!B:E,4,0),"")</f>
        <v/>
      </c>
      <c r="F16" s="12" t="str">
        <f>IFERROR(VLOOKUP(B16,'HỒ SƠ BH_XD&amp;ME_BOQ PHÁT HÀNH'!B:F,5,0),"")</f>
        <v/>
      </c>
      <c r="G16" s="12" t="str">
        <f>IFERROR(VLOOKUP(B16,'HỒ SƠ BH_XD&amp;ME_BOQ PHÁT HÀNH'!B:G,6,0),"")</f>
        <v/>
      </c>
      <c r="I16" s="42"/>
      <c r="J16" s="37"/>
      <c r="K16" s="4"/>
      <c r="L16" s="26" t="str">
        <f>IFERROR(VLOOKUP(H16,'DATA QUY ĐỔI BH'!E:F,2,0),"")</f>
        <v/>
      </c>
      <c r="M16" s="24" t="str">
        <f>IFERROR(VLOOKUP(L16,'DATA QUY ĐỔI BH'!B:C,2,0),"")</f>
        <v/>
      </c>
      <c r="N16" s="24" t="str">
        <f>IFERROR(VLOOKUP(L16,'DATA QUY ĐỔI BH'!B:D,3,0),"")</f>
        <v/>
      </c>
      <c r="O16" s="24" t="str">
        <f t="shared" si="1"/>
        <v/>
      </c>
      <c r="Q16" s="12"/>
    </row>
    <row r="17" spans="1:17" x14ac:dyDescent="0.25">
      <c r="A17" s="3">
        <v>13</v>
      </c>
      <c r="B17" s="3"/>
      <c r="C17" s="37"/>
      <c r="D17" s="12" t="str">
        <f>IFERROR(VLOOKUP(B17,'HỒ SƠ BH_XD&amp;ME_BOQ PHÁT HÀNH'!B:D,3,0),"")</f>
        <v/>
      </c>
      <c r="E17" s="12" t="str">
        <f>IFERROR(VLOOKUP(B17,'HỒ SƠ BH_XD&amp;ME_BOQ PHÁT HÀNH'!B:E,4,0),"")</f>
        <v/>
      </c>
      <c r="F17" s="12" t="str">
        <f>IFERROR(VLOOKUP(B17,'HỒ SƠ BH_XD&amp;ME_BOQ PHÁT HÀNH'!B:F,5,0),"")</f>
        <v/>
      </c>
      <c r="G17" s="12" t="str">
        <f>IFERROR(VLOOKUP(B17,'HỒ SƠ BH_XD&amp;ME_BOQ PHÁT HÀNH'!B:G,6,0),"")</f>
        <v/>
      </c>
      <c r="I17" s="42"/>
      <c r="J17" s="37"/>
      <c r="K17" s="4"/>
      <c r="L17" s="26" t="str">
        <f>IFERROR(VLOOKUP(H17,'DATA QUY ĐỔI BH'!E:F,2,0),"")</f>
        <v/>
      </c>
      <c r="M17" s="24" t="str">
        <f>IFERROR(VLOOKUP(L17,'DATA QUY ĐỔI BH'!B:C,2,0),"")</f>
        <v/>
      </c>
      <c r="N17" s="24" t="str">
        <f>IFERROR(VLOOKUP(L17,'DATA QUY ĐỔI BH'!B:D,3,0),"")</f>
        <v/>
      </c>
      <c r="O17" s="24" t="str">
        <f t="shared" si="1"/>
        <v/>
      </c>
      <c r="Q17" s="12"/>
    </row>
    <row r="18" spans="1:17" x14ac:dyDescent="0.25">
      <c r="A18" s="3">
        <v>14</v>
      </c>
      <c r="B18" s="3"/>
      <c r="C18" s="37"/>
      <c r="D18" s="12" t="str">
        <f>IFERROR(VLOOKUP(B18,'HỒ SƠ BH_XD&amp;ME_BOQ PHÁT HÀNH'!B:D,3,0),"")</f>
        <v/>
      </c>
      <c r="E18" s="12" t="str">
        <f>IFERROR(VLOOKUP(B18,'HỒ SƠ BH_XD&amp;ME_BOQ PHÁT HÀNH'!B:E,4,0),"")</f>
        <v/>
      </c>
      <c r="F18" s="12" t="str">
        <f>IFERROR(VLOOKUP(B18,'HỒ SƠ BH_XD&amp;ME_BOQ PHÁT HÀNH'!B:F,5,0),"")</f>
        <v/>
      </c>
      <c r="G18" s="12" t="str">
        <f>IFERROR(VLOOKUP(B18,'HỒ SƠ BH_XD&amp;ME_BOQ PHÁT HÀNH'!B:G,6,0),"")</f>
        <v/>
      </c>
      <c r="H18" s="56"/>
      <c r="K18" s="60"/>
      <c r="L18" s="26" t="str">
        <f>IFERROR(VLOOKUP(H18,'DATA QUY ĐỔI BH'!E:F,2,0),"")</f>
        <v/>
      </c>
      <c r="M18" s="24" t="str">
        <f>IFERROR(VLOOKUP(L18,'DATA QUY ĐỔI BH'!B:C,2,0),"")</f>
        <v/>
      </c>
      <c r="N18" s="24" t="str">
        <f>IFERROR(VLOOKUP(L18,'DATA QUY ĐỔI BH'!B:D,3,0),"")</f>
        <v/>
      </c>
      <c r="O18" s="24" t="str">
        <f t="shared" si="1"/>
        <v/>
      </c>
      <c r="Q18" s="12"/>
    </row>
    <row r="19" spans="1:17" x14ac:dyDescent="0.25">
      <c r="A19" s="3">
        <v>15</v>
      </c>
      <c r="B19" s="3"/>
      <c r="C19" s="37"/>
      <c r="D19" s="12" t="str">
        <f>IFERROR(VLOOKUP(B19,'HỒ SƠ BH_XD&amp;ME_BOQ PHÁT HÀNH'!B:D,3,0),"")</f>
        <v/>
      </c>
      <c r="E19" s="12" t="str">
        <f>IFERROR(VLOOKUP(B19,'HỒ SƠ BH_XD&amp;ME_BOQ PHÁT HÀNH'!B:E,4,0),"")</f>
        <v/>
      </c>
      <c r="F19" s="12" t="str">
        <f>IFERROR(VLOOKUP(B19,'HỒ SƠ BH_XD&amp;ME_BOQ PHÁT HÀNH'!B:F,5,0),"")</f>
        <v/>
      </c>
      <c r="G19" s="12" t="str">
        <f>IFERROR(VLOOKUP(B19,'HỒ SƠ BH_XD&amp;ME_BOQ PHÁT HÀNH'!B:G,6,0),"")</f>
        <v/>
      </c>
      <c r="K19" s="60"/>
      <c r="L19" s="26" t="str">
        <f>IFERROR(VLOOKUP(H19,'DATA QUY ĐỔI BH'!E:F,2,0),"")</f>
        <v/>
      </c>
      <c r="M19" s="24" t="str">
        <f>IFERROR(VLOOKUP(L19,'DATA QUY ĐỔI BH'!B:C,2,0),"")</f>
        <v/>
      </c>
      <c r="N19" s="24" t="str">
        <f>IFERROR(VLOOKUP(L19,'DATA QUY ĐỔI BH'!B:D,3,0),"")</f>
        <v/>
      </c>
      <c r="O19" s="24" t="str">
        <f t="shared" si="1"/>
        <v/>
      </c>
      <c r="Q19" s="12"/>
    </row>
    <row r="20" spans="1:17" x14ac:dyDescent="0.25">
      <c r="A20" s="3">
        <v>16</v>
      </c>
      <c r="B20" s="3"/>
      <c r="C20" s="37"/>
      <c r="D20" s="12" t="str">
        <f>IFERROR(VLOOKUP(B20,'HỒ SƠ BH_XD&amp;ME_BOQ PHÁT HÀNH'!B:D,3,0),"")</f>
        <v/>
      </c>
      <c r="E20" s="12" t="str">
        <f>IFERROR(VLOOKUP(B20,'HỒ SƠ BH_XD&amp;ME_BOQ PHÁT HÀNH'!B:E,4,0),"")</f>
        <v/>
      </c>
      <c r="F20" s="12" t="str">
        <f>IFERROR(VLOOKUP(B20,'HỒ SƠ BH_XD&amp;ME_BOQ PHÁT HÀNH'!B:F,5,0),"")</f>
        <v/>
      </c>
      <c r="G20" s="12" t="str">
        <f>IFERROR(VLOOKUP(B20,'HỒ SƠ BH_XD&amp;ME_BOQ PHÁT HÀNH'!B:G,6,0),"")</f>
        <v/>
      </c>
      <c r="K20" s="60"/>
      <c r="L20" s="26" t="str">
        <f>IFERROR(VLOOKUP(H20,'DATA QUY ĐỔI BH'!E:F,2,0),"")</f>
        <v/>
      </c>
      <c r="M20" s="24" t="str">
        <f>IFERROR(VLOOKUP(L20,'DATA QUY ĐỔI BH'!B:C,2,0),"")</f>
        <v/>
      </c>
      <c r="N20" s="24" t="str">
        <f>IFERROR(VLOOKUP(L20,'DATA QUY ĐỔI BH'!B:D,3,0),"")</f>
        <v/>
      </c>
      <c r="O20" s="24" t="str">
        <f t="shared" si="1"/>
        <v/>
      </c>
      <c r="Q20" s="12"/>
    </row>
    <row r="21" spans="1:17" x14ac:dyDescent="0.25">
      <c r="A21" s="3">
        <v>17</v>
      </c>
      <c r="B21" s="3"/>
      <c r="C21" s="37"/>
      <c r="D21" s="12" t="str">
        <f>IFERROR(VLOOKUP(B21,'HỒ SƠ BH_XD&amp;ME_BOQ PHÁT HÀNH'!B:D,3,0),"")</f>
        <v/>
      </c>
      <c r="E21" s="12" t="str">
        <f>IFERROR(VLOOKUP(B21,'HỒ SƠ BH_XD&amp;ME_BOQ PHÁT HÀNH'!B:E,4,0),"")</f>
        <v/>
      </c>
      <c r="F21" s="12" t="str">
        <f>IFERROR(VLOOKUP(B21,'HỒ SƠ BH_XD&amp;ME_BOQ PHÁT HÀNH'!B:F,5,0),"")</f>
        <v/>
      </c>
      <c r="G21" s="12" t="str">
        <f>IFERROR(VLOOKUP(B21,'HỒ SƠ BH_XD&amp;ME_BOQ PHÁT HÀNH'!B:G,6,0),"")</f>
        <v/>
      </c>
      <c r="K21" s="60"/>
      <c r="L21" s="26" t="str">
        <f>IFERROR(VLOOKUP(H21,'DATA QUY ĐỔI BH'!E:F,2,0),"")</f>
        <v/>
      </c>
      <c r="M21" s="24" t="str">
        <f>IFERROR(VLOOKUP(L21,'DATA QUY ĐỔI BH'!B:C,2,0),"")</f>
        <v/>
      </c>
      <c r="N21" s="24" t="str">
        <f>IFERROR(VLOOKUP(L21,'DATA QUY ĐỔI BH'!B:D,3,0),"")</f>
        <v/>
      </c>
      <c r="O21" s="24" t="str">
        <f t="shared" si="1"/>
        <v/>
      </c>
      <c r="Q21" s="12"/>
    </row>
    <row r="22" spans="1:17" x14ac:dyDescent="0.25">
      <c r="A22" s="3">
        <v>18</v>
      </c>
      <c r="B22" s="3"/>
      <c r="C22" s="37"/>
      <c r="D22" s="12" t="str">
        <f>IFERROR(VLOOKUP(B22,'HỒ SƠ BH_XD&amp;ME_BOQ PHÁT HÀNH'!B:D,3,0),"")</f>
        <v/>
      </c>
      <c r="E22" s="12" t="str">
        <f>IFERROR(VLOOKUP(B22,'HỒ SƠ BH_XD&amp;ME_BOQ PHÁT HÀNH'!B:E,4,0),"")</f>
        <v/>
      </c>
      <c r="F22" s="12" t="str">
        <f>IFERROR(VLOOKUP(B22,'HỒ SƠ BH_XD&amp;ME_BOQ PHÁT HÀNH'!B:F,5,0),"")</f>
        <v/>
      </c>
      <c r="G22" s="12" t="str">
        <f>IFERROR(VLOOKUP(B22,'HỒ SƠ BH_XD&amp;ME_BOQ PHÁT HÀNH'!B:G,6,0),"")</f>
        <v/>
      </c>
      <c r="K22" s="60"/>
      <c r="L22" s="26" t="str">
        <f>IFERROR(VLOOKUP(H22,'DATA QUY ĐỔI BH'!E:F,2,0),"")</f>
        <v/>
      </c>
      <c r="M22" s="24" t="str">
        <f>IFERROR(VLOOKUP(L22,'DATA QUY ĐỔI BH'!B:C,2,0),"")</f>
        <v/>
      </c>
      <c r="N22" s="24" t="str">
        <f>IFERROR(VLOOKUP(L22,'DATA QUY ĐỔI BH'!B:D,3,0),"")</f>
        <v/>
      </c>
      <c r="O22" s="24" t="str">
        <f t="shared" si="1"/>
        <v/>
      </c>
    </row>
    <row r="23" spans="1:17" x14ac:dyDescent="0.25">
      <c r="A23" s="3">
        <v>19</v>
      </c>
      <c r="B23" s="3"/>
      <c r="C23" s="37"/>
      <c r="D23" s="12" t="str">
        <f>IFERROR(VLOOKUP(B23,'HỒ SƠ BH_XD&amp;ME_BOQ PHÁT HÀNH'!B:D,3,0),"")</f>
        <v/>
      </c>
      <c r="E23" s="12" t="str">
        <f>IFERROR(VLOOKUP(B23,'HỒ SƠ BH_XD&amp;ME_BOQ PHÁT HÀNH'!B:E,4,0),"")</f>
        <v/>
      </c>
      <c r="F23" s="12" t="str">
        <f>IFERROR(VLOOKUP(B23,'HỒ SƠ BH_XD&amp;ME_BOQ PHÁT HÀNH'!B:F,5,0),"")</f>
        <v/>
      </c>
      <c r="G23" s="12" t="str">
        <f>IFERROR(VLOOKUP(B23,'HỒ SƠ BH_XD&amp;ME_BOQ PHÁT HÀNH'!B:G,6,0),"")</f>
        <v/>
      </c>
      <c r="K23" s="60"/>
      <c r="L23" s="26" t="str">
        <f>IFERROR(VLOOKUP(H23,'DATA QUY ĐỔI BH'!E:F,2,0),"")</f>
        <v/>
      </c>
      <c r="M23" s="24" t="str">
        <f>IFERROR(VLOOKUP(L23,'DATA QUY ĐỔI BH'!B:C,2,0),"")</f>
        <v/>
      </c>
      <c r="N23" s="24" t="str">
        <f>IFERROR(VLOOKUP(L23,'DATA QUY ĐỔI BH'!B:D,3,0),"")</f>
        <v/>
      </c>
      <c r="O23" s="24" t="str">
        <f t="shared" si="1"/>
        <v/>
      </c>
    </row>
    <row r="24" spans="1:17" x14ac:dyDescent="0.25">
      <c r="A24" s="3">
        <v>20</v>
      </c>
      <c r="B24" s="3"/>
      <c r="C24" s="37"/>
      <c r="D24" s="12" t="str">
        <f>IFERROR(VLOOKUP(B24,'HỒ SƠ BH_XD&amp;ME_BOQ PHÁT HÀNH'!B:D,3,0),"")</f>
        <v/>
      </c>
      <c r="E24" s="12" t="str">
        <f>IFERROR(VLOOKUP(B24,'HỒ SƠ BH_XD&amp;ME_BOQ PHÁT HÀNH'!B:E,4,0),"")</f>
        <v/>
      </c>
      <c r="F24" s="12" t="str">
        <f>IFERROR(VLOOKUP(B24,'HỒ SƠ BH_XD&amp;ME_BOQ PHÁT HÀNH'!B:F,5,0),"")</f>
        <v/>
      </c>
      <c r="G24" s="12" t="str">
        <f>IFERROR(VLOOKUP(B24,'HỒ SƠ BH_XD&amp;ME_BOQ PHÁT HÀNH'!B:G,6,0),"")</f>
        <v/>
      </c>
      <c r="K24" s="60"/>
      <c r="L24" s="26" t="str">
        <f>IFERROR(VLOOKUP(H24,'DATA QUY ĐỔI BH'!E:F,2,0),"")</f>
        <v/>
      </c>
      <c r="M24" s="24" t="str">
        <f>IFERROR(VLOOKUP(L24,'DATA QUY ĐỔI BH'!B:C,2,0),"")</f>
        <v/>
      </c>
      <c r="N24" s="24" t="str">
        <f>IFERROR(VLOOKUP(L24,'DATA QUY ĐỔI BH'!B:D,3,0),"")</f>
        <v/>
      </c>
      <c r="O24" s="24" t="str">
        <f t="shared" si="1"/>
        <v/>
      </c>
    </row>
    <row r="25" spans="1:17" x14ac:dyDescent="0.25">
      <c r="A25" s="3">
        <v>21</v>
      </c>
      <c r="B25" s="3"/>
      <c r="C25" s="37"/>
      <c r="D25" s="12" t="str">
        <f>IFERROR(VLOOKUP(B25,'HỒ SƠ BH_XD&amp;ME_BOQ PHÁT HÀNH'!B:D,3,0),"")</f>
        <v/>
      </c>
      <c r="E25" s="12" t="str">
        <f>IFERROR(VLOOKUP(B25,'HỒ SƠ BH_XD&amp;ME_BOQ PHÁT HÀNH'!B:E,4,0),"")</f>
        <v/>
      </c>
      <c r="F25" s="12" t="str">
        <f>IFERROR(VLOOKUP(B25,'HỒ SƠ BH_XD&amp;ME_BOQ PHÁT HÀNH'!B:F,5,0),"")</f>
        <v/>
      </c>
      <c r="G25" s="12" t="str">
        <f>IFERROR(VLOOKUP(B25,'HỒ SƠ BH_XD&amp;ME_BOQ PHÁT HÀNH'!B:G,6,0),"")</f>
        <v/>
      </c>
      <c r="K25" s="60"/>
      <c r="L25" s="26" t="str">
        <f>IFERROR(VLOOKUP(H25,'DATA QUY ĐỔI BH'!E:F,2,0),"")</f>
        <v/>
      </c>
      <c r="M25" s="24" t="str">
        <f>IFERROR(VLOOKUP(L25,'DATA QUY ĐỔI BH'!B:C,2,0),"")</f>
        <v/>
      </c>
      <c r="N25" s="24" t="str">
        <f>IFERROR(VLOOKUP(L25,'DATA QUY ĐỔI BH'!B:D,3,0),"")</f>
        <v/>
      </c>
      <c r="O25" s="24" t="str">
        <f t="shared" si="1"/>
        <v/>
      </c>
    </row>
    <row r="26" spans="1:17" x14ac:dyDescent="0.25">
      <c r="A26" s="3">
        <v>22</v>
      </c>
      <c r="B26" s="3"/>
      <c r="C26" s="37"/>
      <c r="D26" s="12" t="str">
        <f>IFERROR(VLOOKUP(B26,'HỒ SƠ BH_XD&amp;ME_BOQ PHÁT HÀNH'!B:D,3,0),"")</f>
        <v/>
      </c>
      <c r="E26" s="12" t="str">
        <f>IFERROR(VLOOKUP(B26,'HỒ SƠ BH_XD&amp;ME_BOQ PHÁT HÀNH'!B:E,4,0),"")</f>
        <v/>
      </c>
      <c r="F26" s="12" t="str">
        <f>IFERROR(VLOOKUP(B26,'HỒ SƠ BH_XD&amp;ME_BOQ PHÁT HÀNH'!B:F,5,0),"")</f>
        <v/>
      </c>
      <c r="G26" s="12" t="str">
        <f>IFERROR(VLOOKUP(B26,'HỒ SƠ BH_XD&amp;ME_BOQ PHÁT HÀNH'!B:G,6,0),"")</f>
        <v/>
      </c>
      <c r="K26" s="60"/>
      <c r="L26" s="26" t="str">
        <f>IFERROR(VLOOKUP(H26,'DATA QUY ĐỔI BH'!E:F,2,0),"")</f>
        <v/>
      </c>
      <c r="M26" s="24" t="str">
        <f>IFERROR(VLOOKUP(L26,'DATA QUY ĐỔI BH'!B:C,2,0),"")</f>
        <v/>
      </c>
      <c r="N26" s="24" t="str">
        <f>IFERROR(VLOOKUP(L26,'DATA QUY ĐỔI BH'!B:D,3,0),"")</f>
        <v/>
      </c>
      <c r="O26" s="24" t="str">
        <f t="shared" si="1"/>
        <v/>
      </c>
    </row>
    <row r="27" spans="1:17" x14ac:dyDescent="0.25">
      <c r="A27" s="3">
        <v>23</v>
      </c>
      <c r="B27" s="3"/>
      <c r="C27" s="37"/>
      <c r="D27" s="12" t="str">
        <f>IFERROR(VLOOKUP(B27,'HỒ SƠ BH_XD&amp;ME_BOQ PHÁT HÀNH'!B:D,3,0),"")</f>
        <v/>
      </c>
      <c r="E27" s="12" t="str">
        <f>IFERROR(VLOOKUP(B27,'HỒ SƠ BH_XD&amp;ME_BOQ PHÁT HÀNH'!B:E,4,0),"")</f>
        <v/>
      </c>
      <c r="F27" s="12" t="str">
        <f>IFERROR(VLOOKUP(B27,'HỒ SƠ BH_XD&amp;ME_BOQ PHÁT HÀNH'!B:F,5,0),"")</f>
        <v/>
      </c>
      <c r="G27" s="12" t="str">
        <f>IFERROR(VLOOKUP(B27,'HỒ SƠ BH_XD&amp;ME_BOQ PHÁT HÀNH'!B:G,6,0),"")</f>
        <v/>
      </c>
      <c r="K27" s="60"/>
      <c r="L27" s="26" t="str">
        <f>IFERROR(VLOOKUP(H27,'DATA QUY ĐỔI BH'!E:F,2,0),"")</f>
        <v/>
      </c>
      <c r="M27" s="24" t="str">
        <f>IFERROR(VLOOKUP(L27,'DATA QUY ĐỔI BH'!B:C,2,0),"")</f>
        <v/>
      </c>
      <c r="N27" s="24" t="str">
        <f>IFERROR(VLOOKUP(L27,'DATA QUY ĐỔI BH'!B:D,3,0),"")</f>
        <v/>
      </c>
      <c r="O27" s="24" t="str">
        <f t="shared" si="1"/>
        <v/>
      </c>
    </row>
    <row r="28" spans="1:17" x14ac:dyDescent="0.25">
      <c r="A28" s="3">
        <v>24</v>
      </c>
      <c r="B28" s="3"/>
      <c r="C28" s="37"/>
      <c r="D28" s="12" t="str">
        <f>IFERROR(VLOOKUP(B28,'HỒ SƠ BH_XD&amp;ME_BOQ PHÁT HÀNH'!B:D,3,0),"")</f>
        <v/>
      </c>
      <c r="E28" s="12" t="str">
        <f>IFERROR(VLOOKUP(B28,'HỒ SƠ BH_XD&amp;ME_BOQ PHÁT HÀNH'!B:E,4,0),"")</f>
        <v/>
      </c>
      <c r="F28" s="12" t="str">
        <f>IFERROR(VLOOKUP(B28,'HỒ SƠ BH_XD&amp;ME_BOQ PHÁT HÀNH'!B:F,5,0),"")</f>
        <v/>
      </c>
      <c r="G28" s="12" t="str">
        <f>IFERROR(VLOOKUP(B28,'HỒ SƠ BH_XD&amp;ME_BOQ PHÁT HÀNH'!B:G,6,0),"")</f>
        <v/>
      </c>
      <c r="K28" s="60"/>
      <c r="L28" s="26" t="str">
        <f>IFERROR(VLOOKUP(H28,'DATA QUY ĐỔI BH'!E:F,2,0),"")</f>
        <v/>
      </c>
      <c r="M28" s="24" t="str">
        <f>IFERROR(VLOOKUP(L28,'DATA QUY ĐỔI BH'!B:C,2,0),"")</f>
        <v/>
      </c>
      <c r="N28" s="24" t="str">
        <f>IFERROR(VLOOKUP(L28,'DATA QUY ĐỔI BH'!B:D,3,0),"")</f>
        <v/>
      </c>
      <c r="O28" s="24" t="str">
        <f t="shared" si="1"/>
        <v/>
      </c>
    </row>
    <row r="29" spans="1:17" x14ac:dyDescent="0.25">
      <c r="A29" s="3">
        <v>25</v>
      </c>
      <c r="B29" s="3"/>
      <c r="C29" s="37"/>
      <c r="D29" s="12" t="str">
        <f>IFERROR(VLOOKUP(B29,'HỒ SƠ BH_XD&amp;ME_BOQ PHÁT HÀNH'!B:D,3,0),"")</f>
        <v/>
      </c>
      <c r="E29" s="12" t="str">
        <f>IFERROR(VLOOKUP(B29,'HỒ SƠ BH_XD&amp;ME_BOQ PHÁT HÀNH'!B:E,4,0),"")</f>
        <v/>
      </c>
      <c r="F29" s="12" t="str">
        <f>IFERROR(VLOOKUP(B29,'HỒ SƠ BH_XD&amp;ME_BOQ PHÁT HÀNH'!B:F,5,0),"")</f>
        <v/>
      </c>
      <c r="G29" s="12" t="str">
        <f>IFERROR(VLOOKUP(B29,'HỒ SƠ BH_XD&amp;ME_BOQ PHÁT HÀNH'!B:G,6,0),"")</f>
        <v/>
      </c>
      <c r="K29" s="60"/>
      <c r="L29" s="26" t="str">
        <f>IFERROR(VLOOKUP(H29,'DATA QUY ĐỔI BH'!E:F,2,0),"")</f>
        <v/>
      </c>
      <c r="M29" s="24" t="str">
        <f>IFERROR(VLOOKUP(L29,'DATA QUY ĐỔI BH'!B:C,2,0),"")</f>
        <v/>
      </c>
      <c r="N29" s="24" t="str">
        <f>IFERROR(VLOOKUP(L29,'DATA QUY ĐỔI BH'!B:D,3,0),"")</f>
        <v/>
      </c>
      <c r="O29" s="24" t="str">
        <f t="shared" si="1"/>
        <v/>
      </c>
    </row>
    <row r="30" spans="1:17" x14ac:dyDescent="0.25">
      <c r="A30" s="3">
        <v>26</v>
      </c>
      <c r="B30" s="3"/>
      <c r="C30" s="37"/>
      <c r="D30" s="12" t="str">
        <f>IFERROR(VLOOKUP(B30,'HỒ SƠ BH_XD&amp;ME_BOQ PHÁT HÀNH'!B:D,3,0),"")</f>
        <v/>
      </c>
      <c r="E30" s="12" t="str">
        <f>IFERROR(VLOOKUP(B30,'HỒ SƠ BH_XD&amp;ME_BOQ PHÁT HÀNH'!B:E,4,0),"")</f>
        <v/>
      </c>
      <c r="F30" s="12" t="str">
        <f>IFERROR(VLOOKUP(B30,'HỒ SƠ BH_XD&amp;ME_BOQ PHÁT HÀNH'!B:F,5,0),"")</f>
        <v/>
      </c>
      <c r="G30" s="12" t="str">
        <f>IFERROR(VLOOKUP(B30,'HỒ SƠ BH_XD&amp;ME_BOQ PHÁT HÀNH'!B:G,6,0),"")</f>
        <v/>
      </c>
      <c r="K30" s="60"/>
      <c r="L30" s="26" t="str">
        <f>IFERROR(VLOOKUP(H30,'DATA QUY ĐỔI BH'!E:F,2,0),"")</f>
        <v/>
      </c>
      <c r="M30" s="24" t="str">
        <f>IFERROR(VLOOKUP(L30,'DATA QUY ĐỔI BH'!B:C,2,0),"")</f>
        <v/>
      </c>
      <c r="N30" s="24" t="str">
        <f>IFERROR(VLOOKUP(L30,'DATA QUY ĐỔI BH'!B:D,3,0),"")</f>
        <v/>
      </c>
      <c r="O30" s="24" t="str">
        <f t="shared" si="1"/>
        <v/>
      </c>
    </row>
    <row r="31" spans="1:17" x14ac:dyDescent="0.25">
      <c r="A31" s="3">
        <v>27</v>
      </c>
      <c r="B31" s="3"/>
      <c r="C31" s="37"/>
      <c r="D31" s="12" t="str">
        <f>IFERROR(VLOOKUP(B31,'HỒ SƠ BH_XD&amp;ME_BOQ PHÁT HÀNH'!B:D,3,0),"")</f>
        <v/>
      </c>
      <c r="E31" s="12" t="str">
        <f>IFERROR(VLOOKUP(B31,'HỒ SƠ BH_XD&amp;ME_BOQ PHÁT HÀNH'!B:E,4,0),"")</f>
        <v/>
      </c>
      <c r="F31" s="12" t="str">
        <f>IFERROR(VLOOKUP(B31,'HỒ SƠ BH_XD&amp;ME_BOQ PHÁT HÀNH'!B:F,5,0),"")</f>
        <v/>
      </c>
      <c r="G31" s="12" t="str">
        <f>IFERROR(VLOOKUP(B31,'HỒ SƠ BH_XD&amp;ME_BOQ PHÁT HÀNH'!B:G,6,0),"")</f>
        <v/>
      </c>
      <c r="K31" s="60"/>
      <c r="L31" s="26" t="str">
        <f>IFERROR(VLOOKUP(H31,'DATA QUY ĐỔI BH'!E:F,2,0),"")</f>
        <v/>
      </c>
      <c r="M31" s="24" t="str">
        <f>IFERROR(VLOOKUP(L31,'DATA QUY ĐỔI BH'!B:C,2,0),"")</f>
        <v/>
      </c>
      <c r="N31" s="24" t="str">
        <f>IFERROR(VLOOKUP(L31,'DATA QUY ĐỔI BH'!B:D,3,0),"")</f>
        <v/>
      </c>
      <c r="O31" s="24" t="str">
        <f t="shared" si="1"/>
        <v/>
      </c>
    </row>
    <row r="32" spans="1:17" x14ac:dyDescent="0.25">
      <c r="A32" s="3">
        <v>28</v>
      </c>
      <c r="B32" s="3"/>
      <c r="C32" s="37"/>
      <c r="D32" s="12" t="str">
        <f>IFERROR(VLOOKUP(B32,'HỒ SƠ BH_XD&amp;ME_BOQ PHÁT HÀNH'!B:D,3,0),"")</f>
        <v/>
      </c>
      <c r="E32" s="12" t="str">
        <f>IFERROR(VLOOKUP(B32,'HỒ SƠ BH_XD&amp;ME_BOQ PHÁT HÀNH'!B:E,4,0),"")</f>
        <v/>
      </c>
      <c r="F32" s="12" t="str">
        <f>IFERROR(VLOOKUP(B32,'HỒ SƠ BH_XD&amp;ME_BOQ PHÁT HÀNH'!B:F,5,0),"")</f>
        <v/>
      </c>
      <c r="G32" s="12" t="str">
        <f>IFERROR(VLOOKUP(B32,'HỒ SƠ BH_XD&amp;ME_BOQ PHÁT HÀNH'!B:G,6,0),"")</f>
        <v/>
      </c>
      <c r="K32" s="60"/>
      <c r="L32" s="26" t="str">
        <f>IFERROR(VLOOKUP(H32,'DATA QUY ĐỔI BH'!E:F,2,0),"")</f>
        <v/>
      </c>
      <c r="M32" s="24" t="str">
        <f>IFERROR(VLOOKUP(L32,'DATA QUY ĐỔI BH'!B:C,2,0),"")</f>
        <v/>
      </c>
      <c r="N32" s="24" t="str">
        <f>IFERROR(VLOOKUP(L32,'DATA QUY ĐỔI BH'!B:D,3,0),"")</f>
        <v/>
      </c>
      <c r="O32" s="24" t="str">
        <f t="shared" si="1"/>
        <v/>
      </c>
    </row>
    <row r="33" spans="1:15" x14ac:dyDescent="0.25">
      <c r="A33" s="3">
        <v>29</v>
      </c>
      <c r="B33" s="3"/>
      <c r="C33" s="37"/>
      <c r="D33" s="12" t="str">
        <f>IFERROR(VLOOKUP(B33,'HỒ SƠ BH_XD&amp;ME_BOQ PHÁT HÀNH'!B:D,3,0),"")</f>
        <v/>
      </c>
      <c r="E33" s="12" t="str">
        <f>IFERROR(VLOOKUP(B33,'HỒ SƠ BH_XD&amp;ME_BOQ PHÁT HÀNH'!B:E,4,0),"")</f>
        <v/>
      </c>
      <c r="F33" s="12" t="str">
        <f>IFERROR(VLOOKUP(B33,'HỒ SƠ BH_XD&amp;ME_BOQ PHÁT HÀNH'!B:F,5,0),"")</f>
        <v/>
      </c>
      <c r="G33" s="12" t="str">
        <f>IFERROR(VLOOKUP(B33,'HỒ SƠ BH_XD&amp;ME_BOQ PHÁT HÀNH'!B:G,6,0),"")</f>
        <v/>
      </c>
      <c r="K33" s="60"/>
      <c r="L33" s="26" t="str">
        <f>IFERROR(VLOOKUP(H33,'DATA QUY ĐỔI BH'!E:F,2,0),"")</f>
        <v/>
      </c>
      <c r="M33" s="24" t="str">
        <f>IFERROR(VLOOKUP(L33,'DATA QUY ĐỔI BH'!B:C,2,0),"")</f>
        <v/>
      </c>
      <c r="N33" s="24" t="str">
        <f>IFERROR(VLOOKUP(L33,'DATA QUY ĐỔI BH'!B:D,3,0),"")</f>
        <v/>
      </c>
      <c r="O33" s="24" t="str">
        <f t="shared" si="1"/>
        <v/>
      </c>
    </row>
    <row r="34" spans="1:15" x14ac:dyDescent="0.25">
      <c r="A34" s="3">
        <v>30</v>
      </c>
      <c r="B34" s="3"/>
      <c r="C34" s="37"/>
      <c r="D34" s="12" t="str">
        <f>IFERROR(VLOOKUP(B34,'HỒ SƠ BH_XD&amp;ME_BOQ PHÁT HÀNH'!B:D,3,0),"")</f>
        <v/>
      </c>
      <c r="E34" s="12" t="str">
        <f>IFERROR(VLOOKUP(B34,'HỒ SƠ BH_XD&amp;ME_BOQ PHÁT HÀNH'!B:E,4,0),"")</f>
        <v/>
      </c>
      <c r="F34" s="12" t="str">
        <f>IFERROR(VLOOKUP(B34,'HỒ SƠ BH_XD&amp;ME_BOQ PHÁT HÀNH'!B:F,5,0),"")</f>
        <v/>
      </c>
      <c r="G34" s="12" t="str">
        <f>IFERROR(VLOOKUP(B34,'HỒ SƠ BH_XD&amp;ME_BOQ PHÁT HÀNH'!B:G,6,0),"")</f>
        <v/>
      </c>
      <c r="K34" s="60"/>
      <c r="L34" s="26" t="str">
        <f>IFERROR(VLOOKUP(H34,'DATA QUY ĐỔI BH'!E:F,2,0),"")</f>
        <v/>
      </c>
      <c r="M34" s="24" t="str">
        <f>IFERROR(VLOOKUP(L34,'DATA QUY ĐỔI BH'!B:C,2,0),"")</f>
        <v/>
      </c>
      <c r="N34" s="24" t="str">
        <f>IFERROR(VLOOKUP(L34,'DATA QUY ĐỔI BH'!B:D,3,0),"")</f>
        <v/>
      </c>
      <c r="O34" s="24" t="str">
        <f t="shared" si="1"/>
        <v/>
      </c>
    </row>
    <row r="35" spans="1:15" x14ac:dyDescent="0.25">
      <c r="A35" s="3">
        <v>31</v>
      </c>
      <c r="B35" s="3"/>
      <c r="C35" s="37"/>
      <c r="D35" s="12" t="str">
        <f>IFERROR(VLOOKUP(B35,'HỒ SƠ BH_XD&amp;ME_BOQ PHÁT HÀNH'!B:D,3,0),"")</f>
        <v/>
      </c>
      <c r="E35" s="12" t="str">
        <f>IFERROR(VLOOKUP(B35,'HỒ SƠ BH_XD&amp;ME_BOQ PHÁT HÀNH'!B:E,4,0),"")</f>
        <v/>
      </c>
      <c r="F35" s="12" t="str">
        <f>IFERROR(VLOOKUP(B35,'HỒ SƠ BH_XD&amp;ME_BOQ PHÁT HÀNH'!B:F,5,0),"")</f>
        <v/>
      </c>
      <c r="G35" s="12" t="str">
        <f>IFERROR(VLOOKUP(B35,'HỒ SƠ BH_XD&amp;ME_BOQ PHÁT HÀNH'!B:G,6,0),"")</f>
        <v/>
      </c>
      <c r="K35" s="60"/>
      <c r="L35" s="26" t="str">
        <f>IFERROR(VLOOKUP(H35,'DATA QUY ĐỔI BH'!E:F,2,0),"")</f>
        <v/>
      </c>
      <c r="M35" s="24" t="str">
        <f>IFERROR(VLOOKUP(L35,'DATA QUY ĐỔI BH'!B:C,2,0),"")</f>
        <v/>
      </c>
      <c r="N35" s="24" t="str">
        <f>IFERROR(VLOOKUP(L35,'DATA QUY ĐỔI BH'!B:D,3,0),"")</f>
        <v/>
      </c>
      <c r="O35" s="24" t="str">
        <f t="shared" si="1"/>
        <v/>
      </c>
    </row>
    <row r="36" spans="1:15" x14ac:dyDescent="0.25">
      <c r="A36" s="3">
        <v>32</v>
      </c>
      <c r="B36" s="3"/>
      <c r="C36" s="37"/>
      <c r="D36" s="12" t="str">
        <f>IFERROR(VLOOKUP(B36,'HỒ SƠ BH_XD&amp;ME_BOQ PHÁT HÀNH'!B:D,3,0),"")</f>
        <v/>
      </c>
      <c r="E36" s="12" t="str">
        <f>IFERROR(VLOOKUP(B36,'HỒ SƠ BH_XD&amp;ME_BOQ PHÁT HÀNH'!B:E,4,0),"")</f>
        <v/>
      </c>
      <c r="F36" s="12" t="str">
        <f>IFERROR(VLOOKUP(B36,'HỒ SƠ BH_XD&amp;ME_BOQ PHÁT HÀNH'!B:F,5,0),"")</f>
        <v/>
      </c>
      <c r="G36" s="12" t="str">
        <f>IFERROR(VLOOKUP(B36,'HỒ SƠ BH_XD&amp;ME_BOQ PHÁT HÀNH'!B:G,6,0),"")</f>
        <v/>
      </c>
      <c r="K36" s="60"/>
      <c r="L36" s="26" t="str">
        <f>IFERROR(VLOOKUP(H36,'DATA QUY ĐỔI BH'!E:F,2,0),"")</f>
        <v/>
      </c>
      <c r="M36" s="24" t="str">
        <f>IFERROR(VLOOKUP(L36,'DATA QUY ĐỔI BH'!B:C,2,0),"")</f>
        <v/>
      </c>
      <c r="N36" s="24" t="str">
        <f>IFERROR(VLOOKUP(L36,'DATA QUY ĐỔI BH'!B:D,3,0),"")</f>
        <v/>
      </c>
      <c r="O36" s="24" t="str">
        <f t="shared" si="1"/>
        <v/>
      </c>
    </row>
    <row r="37" spans="1:15" x14ac:dyDescent="0.25">
      <c r="A37" s="3">
        <v>33</v>
      </c>
      <c r="B37" s="3"/>
      <c r="C37" s="37"/>
      <c r="D37" s="12" t="str">
        <f>IFERROR(VLOOKUP(B37,'HỒ SƠ BH_XD&amp;ME_BOQ PHÁT HÀNH'!B:D,3,0),"")</f>
        <v/>
      </c>
      <c r="E37" s="12" t="str">
        <f>IFERROR(VLOOKUP(B37,'HỒ SƠ BH_XD&amp;ME_BOQ PHÁT HÀNH'!B:E,4,0),"")</f>
        <v/>
      </c>
      <c r="F37" s="12" t="str">
        <f>IFERROR(VLOOKUP(B37,'HỒ SƠ BH_XD&amp;ME_BOQ PHÁT HÀNH'!B:F,5,0),"")</f>
        <v/>
      </c>
      <c r="G37" s="12" t="str">
        <f>IFERROR(VLOOKUP(B37,'HỒ SƠ BH_XD&amp;ME_BOQ PHÁT HÀNH'!B:G,6,0),"")</f>
        <v/>
      </c>
      <c r="K37" s="60"/>
      <c r="L37" s="26" t="str">
        <f>IFERROR(VLOOKUP(H37,'DATA QUY ĐỔI BH'!E:F,2,0),"")</f>
        <v/>
      </c>
      <c r="M37" s="24" t="str">
        <f>IFERROR(VLOOKUP(L37,'DATA QUY ĐỔI BH'!B:C,2,0),"")</f>
        <v/>
      </c>
      <c r="N37" s="24" t="str">
        <f>IFERROR(VLOOKUP(L37,'DATA QUY ĐỔI BH'!B:D,3,0),"")</f>
        <v/>
      </c>
      <c r="O37" s="24" t="str">
        <f t="shared" si="1"/>
        <v/>
      </c>
    </row>
    <row r="38" spans="1:15" x14ac:dyDescent="0.25">
      <c r="A38" s="3">
        <v>34</v>
      </c>
      <c r="B38" s="3"/>
      <c r="C38" s="37"/>
      <c r="D38" s="12" t="str">
        <f>IFERROR(VLOOKUP(B38,'HỒ SƠ BH_XD&amp;ME_BOQ PHÁT HÀNH'!B:D,3,0),"")</f>
        <v/>
      </c>
      <c r="E38" s="12" t="str">
        <f>IFERROR(VLOOKUP(B38,'HỒ SƠ BH_XD&amp;ME_BOQ PHÁT HÀNH'!B:E,4,0),"")</f>
        <v/>
      </c>
      <c r="F38" s="12" t="str">
        <f>IFERROR(VLOOKUP(B38,'HỒ SƠ BH_XD&amp;ME_BOQ PHÁT HÀNH'!B:F,5,0),"")</f>
        <v/>
      </c>
      <c r="G38" s="12" t="str">
        <f>IFERROR(VLOOKUP(B38,'HỒ SƠ BH_XD&amp;ME_BOQ PHÁT HÀNH'!B:G,6,0),"")</f>
        <v/>
      </c>
      <c r="K38" s="60"/>
      <c r="L38" s="26" t="str">
        <f>IFERROR(VLOOKUP(H38,'DATA QUY ĐỔI BH'!E:F,2,0),"")</f>
        <v/>
      </c>
      <c r="M38" s="24" t="str">
        <f>IFERROR(VLOOKUP(L38,'DATA QUY ĐỔI BH'!B:C,2,0),"")</f>
        <v/>
      </c>
      <c r="N38" s="24" t="str">
        <f>IFERROR(VLOOKUP(L38,'DATA QUY ĐỔI BH'!B:D,3,0),"")</f>
        <v/>
      </c>
      <c r="O38" s="24" t="str">
        <f t="shared" si="1"/>
        <v/>
      </c>
    </row>
    <row r="39" spans="1:15" x14ac:dyDescent="0.25">
      <c r="A39" s="3">
        <v>35</v>
      </c>
      <c r="B39" s="3"/>
      <c r="C39" s="37"/>
      <c r="D39" s="12" t="str">
        <f>IFERROR(VLOOKUP(B39,'HỒ SƠ BH_XD&amp;ME_BOQ PHÁT HÀNH'!B:D,3,0),"")</f>
        <v/>
      </c>
      <c r="E39" s="12" t="str">
        <f>IFERROR(VLOOKUP(B39,'HỒ SƠ BH_XD&amp;ME_BOQ PHÁT HÀNH'!B:E,4,0),"")</f>
        <v/>
      </c>
      <c r="F39" s="12" t="str">
        <f>IFERROR(VLOOKUP(B39,'HỒ SƠ BH_XD&amp;ME_BOQ PHÁT HÀNH'!B:F,5,0),"")</f>
        <v/>
      </c>
      <c r="G39" s="12" t="str">
        <f>IFERROR(VLOOKUP(B39,'HỒ SƠ BH_XD&amp;ME_BOQ PHÁT HÀNH'!B:G,6,0),"")</f>
        <v/>
      </c>
      <c r="K39" s="60"/>
      <c r="L39" s="26" t="str">
        <f>IFERROR(VLOOKUP(H39,'DATA QUY ĐỔI BH'!E:F,2,0),"")</f>
        <v/>
      </c>
      <c r="M39" s="24" t="str">
        <f>IFERROR(VLOOKUP(L39,'DATA QUY ĐỔI BH'!B:C,2,0),"")</f>
        <v/>
      </c>
      <c r="N39" s="24" t="str">
        <f>IFERROR(VLOOKUP(L39,'DATA QUY ĐỔI BH'!B:D,3,0),"")</f>
        <v/>
      </c>
      <c r="O39" s="24" t="str">
        <f t="shared" si="1"/>
        <v/>
      </c>
    </row>
    <row r="40" spans="1:15" x14ac:dyDescent="0.25">
      <c r="A40" s="3">
        <v>36</v>
      </c>
      <c r="B40" s="3"/>
      <c r="C40" s="37"/>
      <c r="D40" s="12" t="str">
        <f>IFERROR(VLOOKUP(B40,'HỒ SƠ BH_XD&amp;ME_BOQ PHÁT HÀNH'!B:D,3,0),"")</f>
        <v/>
      </c>
      <c r="E40" s="12" t="str">
        <f>IFERROR(VLOOKUP(B40,'HỒ SƠ BH_XD&amp;ME_BOQ PHÁT HÀNH'!B:E,4,0),"")</f>
        <v/>
      </c>
      <c r="F40" s="12" t="str">
        <f>IFERROR(VLOOKUP(B40,'HỒ SƠ BH_XD&amp;ME_BOQ PHÁT HÀNH'!B:F,5,0),"")</f>
        <v/>
      </c>
      <c r="G40" s="12" t="str">
        <f>IFERROR(VLOOKUP(B40,'HỒ SƠ BH_XD&amp;ME_BOQ PHÁT HÀNH'!B:G,6,0),"")</f>
        <v/>
      </c>
      <c r="K40" s="60"/>
      <c r="L40" s="26" t="str">
        <f>IFERROR(VLOOKUP(H40,'DATA QUY ĐỔI BH'!E:F,2,0),"")</f>
        <v/>
      </c>
      <c r="M40" s="24" t="str">
        <f>IFERROR(VLOOKUP(L40,'DATA QUY ĐỔI BH'!B:C,2,0),"")</f>
        <v/>
      </c>
      <c r="N40" s="24" t="str">
        <f>IFERROR(VLOOKUP(L40,'DATA QUY ĐỔI BH'!B:D,3,0),"")</f>
        <v/>
      </c>
      <c r="O40" s="24" t="str">
        <f t="shared" si="1"/>
        <v/>
      </c>
    </row>
    <row r="41" spans="1:15" x14ac:dyDescent="0.25">
      <c r="A41" s="3">
        <v>37</v>
      </c>
      <c r="B41" s="3"/>
      <c r="C41" s="37"/>
      <c r="D41" s="12" t="str">
        <f>IFERROR(VLOOKUP(B41,'HỒ SƠ BH_XD&amp;ME_BOQ PHÁT HÀNH'!B:D,3,0),"")</f>
        <v/>
      </c>
      <c r="E41" s="12" t="str">
        <f>IFERROR(VLOOKUP(B41,'HỒ SƠ BH_XD&amp;ME_BOQ PHÁT HÀNH'!B:E,4,0),"")</f>
        <v/>
      </c>
      <c r="F41" s="12" t="str">
        <f>IFERROR(VLOOKUP(B41,'HỒ SƠ BH_XD&amp;ME_BOQ PHÁT HÀNH'!B:F,5,0),"")</f>
        <v/>
      </c>
      <c r="G41" s="12" t="str">
        <f>IFERROR(VLOOKUP(B41,'HỒ SƠ BH_XD&amp;ME_BOQ PHÁT HÀNH'!B:G,6,0),"")</f>
        <v/>
      </c>
      <c r="K41" s="60"/>
      <c r="L41" s="26" t="str">
        <f>IFERROR(VLOOKUP(H41,'DATA QUY ĐỔI BH'!E:F,2,0),"")</f>
        <v/>
      </c>
      <c r="M41" s="24" t="str">
        <f>IFERROR(VLOOKUP(L41,'DATA QUY ĐỔI BH'!B:C,2,0),"")</f>
        <v/>
      </c>
      <c r="N41" s="24" t="str">
        <f>IFERROR(VLOOKUP(L41,'DATA QUY ĐỔI BH'!B:D,3,0),"")</f>
        <v/>
      </c>
      <c r="O41" s="24" t="str">
        <f t="shared" si="1"/>
        <v/>
      </c>
    </row>
    <row r="42" spans="1:15" x14ac:dyDescent="0.25">
      <c r="A42" s="3">
        <v>38</v>
      </c>
      <c r="B42" s="3"/>
      <c r="C42" s="37"/>
      <c r="D42" s="12" t="str">
        <f>IFERROR(VLOOKUP(B42,'HỒ SƠ BH_XD&amp;ME_BOQ PHÁT HÀNH'!B:D,3,0),"")</f>
        <v/>
      </c>
      <c r="E42" s="12" t="str">
        <f>IFERROR(VLOOKUP(B42,'HỒ SƠ BH_XD&amp;ME_BOQ PHÁT HÀNH'!B:E,4,0),"")</f>
        <v/>
      </c>
      <c r="F42" s="12" t="str">
        <f>IFERROR(VLOOKUP(B42,'HỒ SƠ BH_XD&amp;ME_BOQ PHÁT HÀNH'!B:F,5,0),"")</f>
        <v/>
      </c>
      <c r="G42" s="12" t="str">
        <f>IFERROR(VLOOKUP(B42,'HỒ SƠ BH_XD&amp;ME_BOQ PHÁT HÀNH'!B:G,6,0),"")</f>
        <v/>
      </c>
      <c r="K42" s="60"/>
      <c r="L42" s="26" t="str">
        <f>IFERROR(VLOOKUP(H42,'DATA QUY ĐỔI BH'!E:F,2,0),"")</f>
        <v/>
      </c>
      <c r="M42" s="24" t="str">
        <f>IFERROR(VLOOKUP(L42,'DATA QUY ĐỔI BH'!B:C,2,0),"")</f>
        <v/>
      </c>
      <c r="N42" s="24" t="str">
        <f>IFERROR(VLOOKUP(L42,'DATA QUY ĐỔI BH'!B:D,3,0),"")</f>
        <v/>
      </c>
      <c r="O42" s="24" t="str">
        <f t="shared" si="1"/>
        <v/>
      </c>
    </row>
    <row r="43" spans="1:15" x14ac:dyDescent="0.25">
      <c r="A43" s="3">
        <v>39</v>
      </c>
      <c r="B43" s="3"/>
      <c r="C43" s="37"/>
      <c r="D43" s="12" t="str">
        <f>IFERROR(VLOOKUP(B43,'HỒ SƠ BH_XD&amp;ME_BOQ PHÁT HÀNH'!B:D,3,0),"")</f>
        <v/>
      </c>
      <c r="E43" s="12" t="str">
        <f>IFERROR(VLOOKUP(B43,'HỒ SƠ BH_XD&amp;ME_BOQ PHÁT HÀNH'!B:E,4,0),"")</f>
        <v/>
      </c>
      <c r="F43" s="12" t="str">
        <f>IFERROR(VLOOKUP(B43,'HỒ SƠ BH_XD&amp;ME_BOQ PHÁT HÀNH'!B:F,5,0),"")</f>
        <v/>
      </c>
      <c r="G43" s="12" t="str">
        <f>IFERROR(VLOOKUP(B43,'HỒ SƠ BH_XD&amp;ME_BOQ PHÁT HÀNH'!B:G,6,0),"")</f>
        <v/>
      </c>
      <c r="K43" s="60"/>
      <c r="L43" s="26" t="str">
        <f>IFERROR(VLOOKUP(H43,'DATA QUY ĐỔI BH'!E:F,2,0),"")</f>
        <v/>
      </c>
      <c r="M43" s="24" t="str">
        <f>IFERROR(VLOOKUP(L43,'DATA QUY ĐỔI BH'!B:C,2,0),"")</f>
        <v/>
      </c>
      <c r="N43" s="24" t="str">
        <f>IFERROR(VLOOKUP(L43,'DATA QUY ĐỔI BH'!B:D,3,0),"")</f>
        <v/>
      </c>
      <c r="O43" s="24" t="str">
        <f t="shared" si="1"/>
        <v/>
      </c>
    </row>
    <row r="44" spans="1:15" x14ac:dyDescent="0.25">
      <c r="A44" s="3">
        <v>40</v>
      </c>
      <c r="B44" s="3"/>
      <c r="C44" s="37"/>
      <c r="D44" s="12" t="str">
        <f>IFERROR(VLOOKUP(B44,'HỒ SƠ BH_XD&amp;ME_BOQ PHÁT HÀNH'!B:D,3,0),"")</f>
        <v/>
      </c>
      <c r="E44" s="12" t="str">
        <f>IFERROR(VLOOKUP(B44,'HỒ SƠ BH_XD&amp;ME_BOQ PHÁT HÀNH'!B:E,4,0),"")</f>
        <v/>
      </c>
      <c r="F44" s="12" t="str">
        <f>IFERROR(VLOOKUP(B44,'HỒ SƠ BH_XD&amp;ME_BOQ PHÁT HÀNH'!B:F,5,0),"")</f>
        <v/>
      </c>
      <c r="G44" s="12" t="str">
        <f>IFERROR(VLOOKUP(B44,'HỒ SƠ BH_XD&amp;ME_BOQ PHÁT HÀNH'!B:G,6,0),"")</f>
        <v/>
      </c>
      <c r="K44" s="60"/>
      <c r="L44" s="26" t="str">
        <f>IFERROR(VLOOKUP(H44,'DATA QUY ĐỔI BH'!E:F,2,0),"")</f>
        <v/>
      </c>
      <c r="M44" s="24" t="str">
        <f>IFERROR(VLOOKUP(L44,'DATA QUY ĐỔI BH'!B:C,2,0),"")</f>
        <v/>
      </c>
      <c r="N44" s="24" t="str">
        <f>IFERROR(VLOOKUP(L44,'DATA QUY ĐỔI BH'!B:D,3,0),"")</f>
        <v/>
      </c>
      <c r="O44" s="24" t="str">
        <f t="shared" si="1"/>
        <v/>
      </c>
    </row>
    <row r="45" spans="1:15" x14ac:dyDescent="0.25">
      <c r="A45" s="3">
        <v>41</v>
      </c>
      <c r="B45" s="3"/>
      <c r="C45" s="37"/>
      <c r="D45" s="12" t="str">
        <f>IFERROR(VLOOKUP(B45,'HỒ SƠ BH_XD&amp;ME_BOQ PHÁT HÀNH'!B:D,3,0),"")</f>
        <v/>
      </c>
      <c r="E45" s="12" t="str">
        <f>IFERROR(VLOOKUP(B45,'HỒ SƠ BH_XD&amp;ME_BOQ PHÁT HÀNH'!B:E,4,0),"")</f>
        <v/>
      </c>
      <c r="F45" s="12" t="str">
        <f>IFERROR(VLOOKUP(B45,'HỒ SƠ BH_XD&amp;ME_BOQ PHÁT HÀNH'!B:F,5,0),"")</f>
        <v/>
      </c>
      <c r="G45" s="12" t="str">
        <f>IFERROR(VLOOKUP(B45,'HỒ SƠ BH_XD&amp;ME_BOQ PHÁT HÀNH'!B:G,6,0),"")</f>
        <v/>
      </c>
      <c r="K45" s="60"/>
      <c r="L45" s="26" t="str">
        <f>IFERROR(VLOOKUP(H45,'DATA QUY ĐỔI BH'!E:F,2,0),"")</f>
        <v/>
      </c>
      <c r="M45" s="24" t="str">
        <f>IFERROR(VLOOKUP(L45,'DATA QUY ĐỔI BH'!B:C,2,0),"")</f>
        <v/>
      </c>
      <c r="N45" s="24" t="str">
        <f>IFERROR(VLOOKUP(L45,'DATA QUY ĐỔI BH'!B:D,3,0),"")</f>
        <v/>
      </c>
      <c r="O45" s="24" t="str">
        <f t="shared" si="1"/>
        <v/>
      </c>
    </row>
    <row r="46" spans="1:15" x14ac:dyDescent="0.25">
      <c r="A46" s="3">
        <v>42</v>
      </c>
      <c r="B46" s="3"/>
      <c r="C46" s="37"/>
      <c r="D46" s="12" t="str">
        <f>IFERROR(VLOOKUP(B46,'HỒ SƠ BH_XD&amp;ME_BOQ PHÁT HÀNH'!B:D,3,0),"")</f>
        <v/>
      </c>
      <c r="E46" s="12" t="str">
        <f>IFERROR(VLOOKUP(B46,'HỒ SƠ BH_XD&amp;ME_BOQ PHÁT HÀNH'!B:E,4,0),"")</f>
        <v/>
      </c>
      <c r="F46" s="12" t="str">
        <f>IFERROR(VLOOKUP(B46,'HỒ SƠ BH_XD&amp;ME_BOQ PHÁT HÀNH'!B:F,5,0),"")</f>
        <v/>
      </c>
      <c r="G46" s="12" t="str">
        <f>IFERROR(VLOOKUP(B46,'HỒ SƠ BH_XD&amp;ME_BOQ PHÁT HÀNH'!B:G,6,0),"")</f>
        <v/>
      </c>
      <c r="K46" s="60"/>
      <c r="L46" s="26" t="str">
        <f>IFERROR(VLOOKUP(H46,'DATA QUY ĐỔI BH'!E:F,2,0),"")</f>
        <v/>
      </c>
      <c r="M46" s="24" t="str">
        <f>IFERROR(VLOOKUP(L46,'DATA QUY ĐỔI BH'!B:C,2,0),"")</f>
        <v/>
      </c>
      <c r="N46" s="24" t="str">
        <f>IFERROR(VLOOKUP(L46,'DATA QUY ĐỔI BH'!B:D,3,0),"")</f>
        <v/>
      </c>
      <c r="O46" s="24" t="str">
        <f t="shared" si="1"/>
        <v/>
      </c>
    </row>
    <row r="47" spans="1:15" x14ac:dyDescent="0.25">
      <c r="A47" s="3">
        <v>43</v>
      </c>
      <c r="B47" s="3"/>
      <c r="C47" s="37"/>
      <c r="D47" s="12" t="str">
        <f>IFERROR(VLOOKUP(B47,'HỒ SƠ BH_XD&amp;ME_BOQ PHÁT HÀNH'!B:D,3,0),"")</f>
        <v/>
      </c>
      <c r="E47" s="12" t="str">
        <f>IFERROR(VLOOKUP(B47,'HỒ SƠ BH_XD&amp;ME_BOQ PHÁT HÀNH'!B:E,4,0),"")</f>
        <v/>
      </c>
      <c r="F47" s="12" t="str">
        <f>IFERROR(VLOOKUP(B47,'HỒ SƠ BH_XD&amp;ME_BOQ PHÁT HÀNH'!B:F,5,0),"")</f>
        <v/>
      </c>
      <c r="G47" s="12" t="str">
        <f>IFERROR(VLOOKUP(B47,'HỒ SƠ BH_XD&amp;ME_BOQ PHÁT HÀNH'!B:G,6,0),"")</f>
        <v/>
      </c>
      <c r="K47" s="60"/>
      <c r="L47" s="26" t="str">
        <f>IFERROR(VLOOKUP(H47,'DATA QUY ĐỔI BH'!E:F,2,0),"")</f>
        <v/>
      </c>
      <c r="M47" s="24" t="str">
        <f>IFERROR(VLOOKUP(L47,'DATA QUY ĐỔI BH'!B:C,2,0),"")</f>
        <v/>
      </c>
      <c r="N47" s="24" t="str">
        <f>IFERROR(VLOOKUP(L47,'DATA QUY ĐỔI BH'!B:D,3,0),"")</f>
        <v/>
      </c>
      <c r="O47" s="24" t="str">
        <f t="shared" si="1"/>
        <v/>
      </c>
    </row>
    <row r="48" spans="1:15" x14ac:dyDescent="0.25">
      <c r="A48" s="3">
        <v>44</v>
      </c>
      <c r="B48" s="3"/>
      <c r="C48" s="37"/>
      <c r="D48" s="12" t="str">
        <f>IFERROR(VLOOKUP(B48,'HỒ SƠ BH_XD&amp;ME_BOQ PHÁT HÀNH'!B:D,3,0),"")</f>
        <v/>
      </c>
      <c r="E48" s="12" t="str">
        <f>IFERROR(VLOOKUP(B48,'HỒ SƠ BH_XD&amp;ME_BOQ PHÁT HÀNH'!B:E,4,0),"")</f>
        <v/>
      </c>
      <c r="F48" s="12" t="str">
        <f>IFERROR(VLOOKUP(B48,'HỒ SƠ BH_XD&amp;ME_BOQ PHÁT HÀNH'!B:F,5,0),"")</f>
        <v/>
      </c>
      <c r="G48" s="12" t="str">
        <f>IFERROR(VLOOKUP(B48,'HỒ SƠ BH_XD&amp;ME_BOQ PHÁT HÀNH'!B:G,6,0),"")</f>
        <v/>
      </c>
      <c r="K48" s="60"/>
      <c r="L48" s="26" t="str">
        <f>IFERROR(VLOOKUP(H48,'DATA QUY ĐỔI BH'!E:F,2,0),"")</f>
        <v/>
      </c>
      <c r="M48" s="24" t="str">
        <f>IFERROR(VLOOKUP(L48,'DATA QUY ĐỔI BH'!B:C,2,0),"")</f>
        <v/>
      </c>
      <c r="N48" s="24" t="str">
        <f>IFERROR(VLOOKUP(L48,'DATA QUY ĐỔI BH'!B:D,3,0),"")</f>
        <v/>
      </c>
      <c r="O48" s="24" t="str">
        <f t="shared" si="1"/>
        <v/>
      </c>
    </row>
    <row r="49" spans="1:15" x14ac:dyDescent="0.25">
      <c r="A49" s="3">
        <v>45</v>
      </c>
      <c r="B49" s="3"/>
      <c r="C49" s="37"/>
      <c r="D49" s="12" t="str">
        <f>IFERROR(VLOOKUP(B49,'HỒ SƠ BH_XD&amp;ME_BOQ PHÁT HÀNH'!B:D,3,0),"")</f>
        <v/>
      </c>
      <c r="E49" s="12" t="str">
        <f>IFERROR(VLOOKUP(B49,'HỒ SƠ BH_XD&amp;ME_BOQ PHÁT HÀNH'!B:E,4,0),"")</f>
        <v/>
      </c>
      <c r="F49" s="12" t="str">
        <f>IFERROR(VLOOKUP(B49,'HỒ SƠ BH_XD&amp;ME_BOQ PHÁT HÀNH'!B:F,5,0),"")</f>
        <v/>
      </c>
      <c r="G49" s="12" t="str">
        <f>IFERROR(VLOOKUP(B49,'HỒ SƠ BH_XD&amp;ME_BOQ PHÁT HÀNH'!B:G,6,0),"")</f>
        <v/>
      </c>
      <c r="K49" s="60"/>
      <c r="L49" s="26" t="str">
        <f>IFERROR(VLOOKUP(H49,'DATA QUY ĐỔI BH'!E:F,2,0),"")</f>
        <v/>
      </c>
      <c r="M49" s="24" t="str">
        <f>IFERROR(VLOOKUP(L49,'DATA QUY ĐỔI BH'!B:C,2,0),"")</f>
        <v/>
      </c>
      <c r="N49" s="24" t="str">
        <f>IFERROR(VLOOKUP(L49,'DATA QUY ĐỔI BH'!B:D,3,0),"")</f>
        <v/>
      </c>
      <c r="O49" s="24" t="str">
        <f t="shared" si="1"/>
        <v/>
      </c>
    </row>
    <row r="50" spans="1:15" x14ac:dyDescent="0.25">
      <c r="A50" s="3">
        <v>46</v>
      </c>
      <c r="B50" s="3"/>
      <c r="C50" s="37"/>
      <c r="D50" s="12" t="str">
        <f>IFERROR(VLOOKUP(B50,'HỒ SƠ BH_XD&amp;ME_BOQ PHÁT HÀNH'!B:D,3,0),"")</f>
        <v/>
      </c>
      <c r="E50" s="12" t="str">
        <f>IFERROR(VLOOKUP(B50,'HỒ SƠ BH_XD&amp;ME_BOQ PHÁT HÀNH'!B:E,4,0),"")</f>
        <v/>
      </c>
      <c r="F50" s="12" t="str">
        <f>IFERROR(VLOOKUP(B50,'HỒ SƠ BH_XD&amp;ME_BOQ PHÁT HÀNH'!B:F,5,0),"")</f>
        <v/>
      </c>
      <c r="G50" s="12" t="str">
        <f>IFERROR(VLOOKUP(B50,'HỒ SƠ BH_XD&amp;ME_BOQ PHÁT HÀNH'!B:G,6,0),"")</f>
        <v/>
      </c>
      <c r="K50" s="60"/>
      <c r="L50" s="26" t="str">
        <f>IFERROR(VLOOKUP(H50,'DATA QUY ĐỔI BH'!E:F,2,0),"")</f>
        <v/>
      </c>
      <c r="M50" s="24" t="str">
        <f>IFERROR(VLOOKUP(L50,'DATA QUY ĐỔI BH'!B:C,2,0),"")</f>
        <v/>
      </c>
      <c r="N50" s="24" t="str">
        <f>IFERROR(VLOOKUP(L50,'DATA QUY ĐỔI BH'!B:D,3,0),"")</f>
        <v/>
      </c>
      <c r="O50" s="24" t="str">
        <f t="shared" si="1"/>
        <v/>
      </c>
    </row>
    <row r="51" spans="1:15" x14ac:dyDescent="0.25">
      <c r="A51" s="3">
        <v>47</v>
      </c>
      <c r="B51" s="3"/>
      <c r="C51" s="37"/>
      <c r="D51" s="12" t="str">
        <f>IFERROR(VLOOKUP(B51,'HỒ SƠ BH_XD&amp;ME_BOQ PHÁT HÀNH'!B:D,3,0),"")</f>
        <v/>
      </c>
      <c r="E51" s="12" t="str">
        <f>IFERROR(VLOOKUP(B51,'HỒ SƠ BH_XD&amp;ME_BOQ PHÁT HÀNH'!B:E,4,0),"")</f>
        <v/>
      </c>
      <c r="F51" s="12" t="str">
        <f>IFERROR(VLOOKUP(B51,'HỒ SƠ BH_XD&amp;ME_BOQ PHÁT HÀNH'!B:F,5,0),"")</f>
        <v/>
      </c>
      <c r="G51" s="12" t="str">
        <f>IFERROR(VLOOKUP(B51,'HỒ SƠ BH_XD&amp;ME_BOQ PHÁT HÀNH'!B:G,6,0),"")</f>
        <v/>
      </c>
      <c r="K51" s="60"/>
      <c r="L51" s="26" t="str">
        <f>IFERROR(VLOOKUP(H51,'DATA QUY ĐỔI BH'!E:F,2,0),"")</f>
        <v/>
      </c>
      <c r="M51" s="24" t="str">
        <f>IFERROR(VLOOKUP(L51,'DATA QUY ĐỔI BH'!B:C,2,0),"")</f>
        <v/>
      </c>
      <c r="N51" s="24" t="str">
        <f>IFERROR(VLOOKUP(L51,'DATA QUY ĐỔI BH'!B:D,3,0),"")</f>
        <v/>
      </c>
      <c r="O51" s="24" t="str">
        <f t="shared" si="1"/>
        <v/>
      </c>
    </row>
    <row r="52" spans="1:15" x14ac:dyDescent="0.25">
      <c r="A52" s="3">
        <v>48</v>
      </c>
      <c r="B52" s="3"/>
      <c r="C52" s="37"/>
      <c r="D52" s="12" t="str">
        <f>IFERROR(VLOOKUP(B52,'HỒ SƠ BH_XD&amp;ME_BOQ PHÁT HÀNH'!B:D,3,0),"")</f>
        <v/>
      </c>
      <c r="E52" s="12" t="str">
        <f>IFERROR(VLOOKUP(B52,'HỒ SƠ BH_XD&amp;ME_BOQ PHÁT HÀNH'!B:E,4,0),"")</f>
        <v/>
      </c>
      <c r="F52" s="12" t="str">
        <f>IFERROR(VLOOKUP(B52,'HỒ SƠ BH_XD&amp;ME_BOQ PHÁT HÀNH'!B:F,5,0),"")</f>
        <v/>
      </c>
      <c r="G52" s="12" t="str">
        <f>IFERROR(VLOOKUP(B52,'HỒ SƠ BH_XD&amp;ME_BOQ PHÁT HÀNH'!B:G,6,0),"")</f>
        <v/>
      </c>
      <c r="K52" s="60"/>
      <c r="L52" s="26" t="str">
        <f>IFERROR(VLOOKUP(H52,'DATA QUY ĐỔI BH'!E:F,2,0),"")</f>
        <v/>
      </c>
      <c r="M52" s="24" t="str">
        <f>IFERROR(VLOOKUP(L52,'DATA QUY ĐỔI BH'!B:C,2,0),"")</f>
        <v/>
      </c>
      <c r="N52" s="24" t="str">
        <f>IFERROR(VLOOKUP(L52,'DATA QUY ĐỔI BH'!B:D,3,0),"")</f>
        <v/>
      </c>
      <c r="O52" s="24" t="str">
        <f t="shared" si="1"/>
        <v/>
      </c>
    </row>
    <row r="53" spans="1:15" x14ac:dyDescent="0.25">
      <c r="A53" s="3">
        <v>49</v>
      </c>
      <c r="B53" s="3"/>
      <c r="C53" s="37"/>
      <c r="D53" s="12" t="str">
        <f>IFERROR(VLOOKUP(B53,'HỒ SƠ BH_XD&amp;ME_BOQ PHÁT HÀNH'!B:D,3,0),"")</f>
        <v/>
      </c>
      <c r="E53" s="12" t="str">
        <f>IFERROR(VLOOKUP(B53,'HỒ SƠ BH_XD&amp;ME_BOQ PHÁT HÀNH'!B:E,4,0),"")</f>
        <v/>
      </c>
      <c r="F53" s="12" t="str">
        <f>IFERROR(VLOOKUP(B53,'HỒ SƠ BH_XD&amp;ME_BOQ PHÁT HÀNH'!B:F,5,0),"")</f>
        <v/>
      </c>
      <c r="G53" s="12" t="str">
        <f>IFERROR(VLOOKUP(B53,'HỒ SƠ BH_XD&amp;ME_BOQ PHÁT HÀNH'!B:G,6,0),"")</f>
        <v/>
      </c>
      <c r="K53" s="60"/>
      <c r="L53" s="26" t="str">
        <f>IFERROR(VLOOKUP(H53,'DATA QUY ĐỔI BH'!E:F,2,0),"")</f>
        <v/>
      </c>
      <c r="M53" s="24" t="str">
        <f>IFERROR(VLOOKUP(L53,'DATA QUY ĐỔI BH'!B:C,2,0),"")</f>
        <v/>
      </c>
      <c r="N53" s="24" t="str">
        <f>IFERROR(VLOOKUP(L53,'DATA QUY ĐỔI BH'!B:D,3,0),"")</f>
        <v/>
      </c>
      <c r="O53" s="24" t="str">
        <f t="shared" si="1"/>
        <v/>
      </c>
    </row>
    <row r="54" spans="1:15" x14ac:dyDescent="0.25">
      <c r="A54" s="3">
        <v>50</v>
      </c>
      <c r="B54" s="3"/>
      <c r="C54" s="37"/>
      <c r="D54" s="12" t="str">
        <f>IFERROR(VLOOKUP(B54,'HỒ SƠ BH_XD&amp;ME_BOQ PHÁT HÀNH'!B:D,3,0),"")</f>
        <v/>
      </c>
      <c r="E54" s="12" t="str">
        <f>IFERROR(VLOOKUP(B54,'HỒ SƠ BH_XD&amp;ME_BOQ PHÁT HÀNH'!B:E,4,0),"")</f>
        <v/>
      </c>
      <c r="F54" s="12" t="str">
        <f>IFERROR(VLOOKUP(B54,'HỒ SƠ BH_XD&amp;ME_BOQ PHÁT HÀNH'!B:F,5,0),"")</f>
        <v/>
      </c>
      <c r="G54" s="12" t="str">
        <f>IFERROR(VLOOKUP(B54,'HỒ SƠ BH_XD&amp;ME_BOQ PHÁT HÀNH'!B:G,6,0),"")</f>
        <v/>
      </c>
      <c r="K54" s="60"/>
      <c r="L54" s="26" t="str">
        <f>IFERROR(VLOOKUP(H54,'DATA QUY ĐỔI BH'!E:F,2,0),"")</f>
        <v/>
      </c>
      <c r="M54" s="24" t="str">
        <f>IFERROR(VLOOKUP(L54,'DATA QUY ĐỔI BH'!B:C,2,0),"")</f>
        <v/>
      </c>
      <c r="N54" s="24" t="str">
        <f>IFERROR(VLOOKUP(L54,'DATA QUY ĐỔI BH'!B:D,3,0),"")</f>
        <v/>
      </c>
      <c r="O54" s="24" t="str">
        <f t="shared" si="1"/>
        <v/>
      </c>
    </row>
    <row r="55" spans="1:15" x14ac:dyDescent="0.25">
      <c r="A55" s="3">
        <v>51</v>
      </c>
      <c r="B55" s="3"/>
      <c r="C55" s="37"/>
      <c r="D55" s="12" t="str">
        <f>IFERROR(VLOOKUP(B55,'HỒ SƠ BH_XD&amp;ME_BOQ PHÁT HÀNH'!B:D,3,0),"")</f>
        <v/>
      </c>
      <c r="E55" s="12" t="str">
        <f>IFERROR(VLOOKUP(B55,'HỒ SƠ BH_XD&amp;ME_BOQ PHÁT HÀNH'!B:E,4,0),"")</f>
        <v/>
      </c>
      <c r="F55" s="12" t="str">
        <f>IFERROR(VLOOKUP(B55,'HỒ SƠ BH_XD&amp;ME_BOQ PHÁT HÀNH'!B:F,5,0),"")</f>
        <v/>
      </c>
      <c r="G55" s="12" t="str">
        <f>IFERROR(VLOOKUP(B55,'HỒ SƠ BH_XD&amp;ME_BOQ PHÁT HÀNH'!B:G,6,0),"")</f>
        <v/>
      </c>
      <c r="K55" s="60"/>
      <c r="L55" s="26" t="str">
        <f>IFERROR(VLOOKUP(H55,'DATA QUY ĐỔI BH'!E:F,2,0),"")</f>
        <v/>
      </c>
      <c r="M55" s="24" t="str">
        <f>IFERROR(VLOOKUP(L55,'DATA QUY ĐỔI BH'!B:C,2,0),"")</f>
        <v/>
      </c>
      <c r="N55" s="24" t="str">
        <f>IFERROR(VLOOKUP(L55,'DATA QUY ĐỔI BH'!B:D,3,0),"")</f>
        <v/>
      </c>
      <c r="O55" s="24" t="str">
        <f t="shared" si="1"/>
        <v/>
      </c>
    </row>
    <row r="56" spans="1:15" x14ac:dyDescent="0.25">
      <c r="A56" s="3">
        <v>52</v>
      </c>
      <c r="B56" s="3"/>
      <c r="C56" s="37"/>
      <c r="D56" s="12" t="str">
        <f>IFERROR(VLOOKUP(B56,'HỒ SƠ BH_XD&amp;ME_BOQ PHÁT HÀNH'!B:D,3,0),"")</f>
        <v/>
      </c>
      <c r="E56" s="12" t="str">
        <f>IFERROR(VLOOKUP(B56,'HỒ SƠ BH_XD&amp;ME_BOQ PHÁT HÀNH'!B:E,4,0),"")</f>
        <v/>
      </c>
      <c r="F56" s="12" t="str">
        <f>IFERROR(VLOOKUP(B56,'HỒ SƠ BH_XD&amp;ME_BOQ PHÁT HÀNH'!B:F,5,0),"")</f>
        <v/>
      </c>
      <c r="G56" s="12" t="str">
        <f>IFERROR(VLOOKUP(B56,'HỒ SƠ BH_XD&amp;ME_BOQ PHÁT HÀNH'!B:G,6,0),"")</f>
        <v/>
      </c>
      <c r="K56" s="60"/>
      <c r="L56" s="26" t="str">
        <f>IFERROR(VLOOKUP(H56,'DATA QUY ĐỔI BH'!E:F,2,0),"")</f>
        <v/>
      </c>
      <c r="M56" s="24" t="str">
        <f>IFERROR(VLOOKUP(L56,'DATA QUY ĐỔI BH'!B:C,2,0),"")</f>
        <v/>
      </c>
      <c r="N56" s="24" t="str">
        <f>IFERROR(VLOOKUP(L56,'DATA QUY ĐỔI BH'!B:D,3,0),"")</f>
        <v/>
      </c>
      <c r="O56" s="24" t="str">
        <f t="shared" si="1"/>
        <v/>
      </c>
    </row>
    <row r="57" spans="1:15" x14ac:dyDescent="0.25">
      <c r="A57" s="3">
        <v>53</v>
      </c>
      <c r="B57" s="3"/>
      <c r="C57" s="37"/>
      <c r="D57" s="12" t="str">
        <f>IFERROR(VLOOKUP(B57,'HỒ SƠ BH_XD&amp;ME_BOQ PHÁT HÀNH'!B:D,3,0),"")</f>
        <v/>
      </c>
      <c r="E57" s="12" t="str">
        <f>IFERROR(VLOOKUP(B57,'HỒ SƠ BH_XD&amp;ME_BOQ PHÁT HÀNH'!B:E,4,0),"")</f>
        <v/>
      </c>
      <c r="F57" s="12" t="str">
        <f>IFERROR(VLOOKUP(B57,'HỒ SƠ BH_XD&amp;ME_BOQ PHÁT HÀNH'!B:F,5,0),"")</f>
        <v/>
      </c>
      <c r="G57" s="12" t="str">
        <f>IFERROR(VLOOKUP(B57,'HỒ SƠ BH_XD&amp;ME_BOQ PHÁT HÀNH'!B:G,6,0),"")</f>
        <v/>
      </c>
      <c r="K57" s="60"/>
      <c r="L57" s="26" t="str">
        <f>IFERROR(VLOOKUP(H57,'DATA QUY ĐỔI BH'!E:F,2,0),"")</f>
        <v/>
      </c>
      <c r="M57" s="24" t="str">
        <f>IFERROR(VLOOKUP(L57,'DATA QUY ĐỔI BH'!B:C,2,0),"")</f>
        <v/>
      </c>
      <c r="N57" s="24" t="str">
        <f>IFERROR(VLOOKUP(L57,'DATA QUY ĐỔI BH'!B:D,3,0),"")</f>
        <v/>
      </c>
      <c r="O57" s="24" t="str">
        <f t="shared" si="1"/>
        <v/>
      </c>
    </row>
    <row r="58" spans="1:15" x14ac:dyDescent="0.25">
      <c r="A58" s="3">
        <v>54</v>
      </c>
      <c r="B58" s="3"/>
      <c r="C58" s="37"/>
      <c r="D58" s="12" t="str">
        <f>IFERROR(VLOOKUP(B58,'HỒ SƠ BH_XD&amp;ME_BOQ PHÁT HÀNH'!B:D,3,0),"")</f>
        <v/>
      </c>
      <c r="E58" s="12" t="str">
        <f>IFERROR(VLOOKUP(B58,'HỒ SƠ BH_XD&amp;ME_BOQ PHÁT HÀNH'!B:E,4,0),"")</f>
        <v/>
      </c>
      <c r="F58" s="12" t="str">
        <f>IFERROR(VLOOKUP(B58,'HỒ SƠ BH_XD&amp;ME_BOQ PHÁT HÀNH'!B:F,5,0),"")</f>
        <v/>
      </c>
      <c r="G58" s="12" t="str">
        <f>IFERROR(VLOOKUP(B58,'HỒ SƠ BH_XD&amp;ME_BOQ PHÁT HÀNH'!B:G,6,0),"")</f>
        <v/>
      </c>
      <c r="K58" s="60"/>
      <c r="L58" s="26" t="str">
        <f>IFERROR(VLOOKUP(H58,'DATA QUY ĐỔI BH'!E:F,2,0),"")</f>
        <v/>
      </c>
      <c r="M58" s="24" t="str">
        <f>IFERROR(VLOOKUP(L58,'DATA QUY ĐỔI BH'!B:C,2,0),"")</f>
        <v/>
      </c>
      <c r="N58" s="24" t="str">
        <f>IFERROR(VLOOKUP(L58,'DATA QUY ĐỔI BH'!B:D,3,0),"")</f>
        <v/>
      </c>
      <c r="O58" s="24" t="str">
        <f t="shared" si="1"/>
        <v/>
      </c>
    </row>
    <row r="59" spans="1:15" x14ac:dyDescent="0.25">
      <c r="A59" s="3">
        <v>55</v>
      </c>
      <c r="B59" s="3"/>
      <c r="C59" s="37"/>
      <c r="D59" s="12" t="str">
        <f>IFERROR(VLOOKUP(B59,'HỒ SƠ BH_XD&amp;ME_BOQ PHÁT HÀNH'!B:D,3,0),"")</f>
        <v/>
      </c>
      <c r="E59" s="12" t="str">
        <f>IFERROR(VLOOKUP(B59,'HỒ SƠ BH_XD&amp;ME_BOQ PHÁT HÀNH'!B:E,4,0),"")</f>
        <v/>
      </c>
      <c r="F59" s="12" t="str">
        <f>IFERROR(VLOOKUP(B59,'HỒ SƠ BH_XD&amp;ME_BOQ PHÁT HÀNH'!B:F,5,0),"")</f>
        <v/>
      </c>
      <c r="G59" s="12" t="str">
        <f>IFERROR(VLOOKUP(B59,'HỒ SƠ BH_XD&amp;ME_BOQ PHÁT HÀNH'!B:G,6,0),"")</f>
        <v/>
      </c>
      <c r="K59" s="60"/>
      <c r="L59" s="26" t="str">
        <f>IFERROR(VLOOKUP(H59,'DATA QUY ĐỔI BH'!E:F,2,0),"")</f>
        <v/>
      </c>
      <c r="M59" s="24" t="str">
        <f>IFERROR(VLOOKUP(L59,'DATA QUY ĐỔI BH'!B:C,2,0),"")</f>
        <v/>
      </c>
      <c r="N59" s="24" t="str">
        <f>IFERROR(VLOOKUP(L59,'DATA QUY ĐỔI BH'!B:D,3,0),"")</f>
        <v/>
      </c>
      <c r="O59" s="24" t="str">
        <f t="shared" si="1"/>
        <v/>
      </c>
    </row>
    <row r="60" spans="1:15" x14ac:dyDescent="0.25">
      <c r="A60" s="3">
        <v>56</v>
      </c>
      <c r="B60" s="3"/>
      <c r="C60" s="37"/>
      <c r="D60" s="12" t="str">
        <f>IFERROR(VLOOKUP(B60,'HỒ SƠ BH_XD&amp;ME_BOQ PHÁT HÀNH'!B:D,3,0),"")</f>
        <v/>
      </c>
      <c r="E60" s="12" t="str">
        <f>IFERROR(VLOOKUP(B60,'HỒ SƠ BH_XD&amp;ME_BOQ PHÁT HÀNH'!B:E,4,0),"")</f>
        <v/>
      </c>
      <c r="F60" s="12" t="str">
        <f>IFERROR(VLOOKUP(B60,'HỒ SƠ BH_XD&amp;ME_BOQ PHÁT HÀNH'!B:F,5,0),"")</f>
        <v/>
      </c>
      <c r="G60" s="12" t="str">
        <f>IFERROR(VLOOKUP(B60,'HỒ SƠ BH_XD&amp;ME_BOQ PHÁT HÀNH'!B:G,6,0),"")</f>
        <v/>
      </c>
      <c r="K60" s="60"/>
      <c r="L60" s="26" t="str">
        <f>IFERROR(VLOOKUP(H60,'DATA QUY ĐỔI BH'!E:F,2,0),"")</f>
        <v/>
      </c>
      <c r="M60" s="24" t="str">
        <f>IFERROR(VLOOKUP(L60,'DATA QUY ĐỔI BH'!B:C,2,0),"")</f>
        <v/>
      </c>
      <c r="N60" s="24" t="str">
        <f>IFERROR(VLOOKUP(L60,'DATA QUY ĐỔI BH'!B:D,3,0),"")</f>
        <v/>
      </c>
      <c r="O60" s="24" t="str">
        <f t="shared" si="1"/>
        <v/>
      </c>
    </row>
    <row r="61" spans="1:15" x14ac:dyDescent="0.25">
      <c r="A61" s="3">
        <v>57</v>
      </c>
      <c r="B61" s="3"/>
      <c r="C61" s="37"/>
      <c r="D61" s="12" t="str">
        <f>IFERROR(VLOOKUP(B61,'HỒ SƠ BH_XD&amp;ME_BOQ PHÁT HÀNH'!B:D,3,0),"")</f>
        <v/>
      </c>
      <c r="E61" s="12" t="str">
        <f>IFERROR(VLOOKUP(B61,'HỒ SƠ BH_XD&amp;ME_BOQ PHÁT HÀNH'!B:E,4,0),"")</f>
        <v/>
      </c>
      <c r="F61" s="12" t="str">
        <f>IFERROR(VLOOKUP(B61,'HỒ SƠ BH_XD&amp;ME_BOQ PHÁT HÀNH'!B:F,5,0),"")</f>
        <v/>
      </c>
      <c r="G61" s="12" t="str">
        <f>IFERROR(VLOOKUP(B61,'HỒ SƠ BH_XD&amp;ME_BOQ PHÁT HÀNH'!B:G,6,0),"")</f>
        <v/>
      </c>
      <c r="K61" s="60"/>
      <c r="L61" s="26" t="str">
        <f>IFERROR(VLOOKUP(H61,'DATA QUY ĐỔI BH'!E:F,2,0),"")</f>
        <v/>
      </c>
      <c r="M61" s="24" t="str">
        <f>IFERROR(VLOOKUP(L61,'DATA QUY ĐỔI BH'!B:C,2,0),"")</f>
        <v/>
      </c>
      <c r="N61" s="24" t="str">
        <f>IFERROR(VLOOKUP(L61,'DATA QUY ĐỔI BH'!B:D,3,0),"")</f>
        <v/>
      </c>
      <c r="O61" s="24" t="str">
        <f t="shared" si="1"/>
        <v/>
      </c>
    </row>
    <row r="62" spans="1:15" x14ac:dyDescent="0.25">
      <c r="A62" s="3">
        <v>58</v>
      </c>
      <c r="B62" s="3"/>
      <c r="C62" s="37"/>
      <c r="D62" s="12" t="str">
        <f>IFERROR(VLOOKUP(B62,'HỒ SƠ BH_XD&amp;ME_BOQ PHÁT HÀNH'!B:D,3,0),"")</f>
        <v/>
      </c>
      <c r="E62" s="12" t="str">
        <f>IFERROR(VLOOKUP(B62,'HỒ SƠ BH_XD&amp;ME_BOQ PHÁT HÀNH'!B:E,4,0),"")</f>
        <v/>
      </c>
      <c r="F62" s="12" t="str">
        <f>IFERROR(VLOOKUP(B62,'HỒ SƠ BH_XD&amp;ME_BOQ PHÁT HÀNH'!B:F,5,0),"")</f>
        <v/>
      </c>
      <c r="G62" s="12" t="str">
        <f>IFERROR(VLOOKUP(B62,'HỒ SƠ BH_XD&amp;ME_BOQ PHÁT HÀNH'!B:G,6,0),"")</f>
        <v/>
      </c>
      <c r="K62" s="60"/>
      <c r="L62" s="26" t="str">
        <f>IFERROR(VLOOKUP(H62,'DATA QUY ĐỔI BH'!E:F,2,0),"")</f>
        <v/>
      </c>
      <c r="M62" s="24" t="str">
        <f>IFERROR(VLOOKUP(L62,'DATA QUY ĐỔI BH'!B:C,2,0),"")</f>
        <v/>
      </c>
      <c r="N62" s="24" t="str">
        <f>IFERROR(VLOOKUP(L62,'DATA QUY ĐỔI BH'!B:D,3,0),"")</f>
        <v/>
      </c>
      <c r="O62" s="24" t="str">
        <f t="shared" si="1"/>
        <v/>
      </c>
    </row>
    <row r="63" spans="1:15" x14ac:dyDescent="0.25">
      <c r="A63" s="3">
        <v>59</v>
      </c>
      <c r="B63" s="3"/>
      <c r="C63" s="37"/>
      <c r="D63" s="12" t="str">
        <f>IFERROR(VLOOKUP(B63,'HỒ SƠ BH_XD&amp;ME_BOQ PHÁT HÀNH'!B:D,3,0),"")</f>
        <v/>
      </c>
      <c r="E63" s="12" t="str">
        <f>IFERROR(VLOOKUP(B63,'HỒ SƠ BH_XD&amp;ME_BOQ PHÁT HÀNH'!B:E,4,0),"")</f>
        <v/>
      </c>
      <c r="F63" s="12" t="str">
        <f>IFERROR(VLOOKUP(B63,'HỒ SƠ BH_XD&amp;ME_BOQ PHÁT HÀNH'!B:F,5,0),"")</f>
        <v/>
      </c>
      <c r="G63" s="12" t="str">
        <f>IFERROR(VLOOKUP(B63,'HỒ SƠ BH_XD&amp;ME_BOQ PHÁT HÀNH'!B:G,6,0),"")</f>
        <v/>
      </c>
      <c r="K63" s="60"/>
      <c r="L63" s="26" t="str">
        <f>IFERROR(VLOOKUP(H63,'DATA QUY ĐỔI BH'!E:F,2,0),"")</f>
        <v/>
      </c>
      <c r="M63" s="24" t="str">
        <f>IFERROR(VLOOKUP(L63,'DATA QUY ĐỔI BH'!B:C,2,0),"")</f>
        <v/>
      </c>
      <c r="N63" s="24" t="str">
        <f>IFERROR(VLOOKUP(L63,'DATA QUY ĐỔI BH'!B:D,3,0),"")</f>
        <v/>
      </c>
      <c r="O63" s="24" t="str">
        <f t="shared" si="1"/>
        <v/>
      </c>
    </row>
    <row r="64" spans="1:15" x14ac:dyDescent="0.25">
      <c r="A64" s="3">
        <v>60</v>
      </c>
      <c r="B64" s="3"/>
      <c r="C64" s="37"/>
      <c r="D64" s="12" t="str">
        <f>IFERROR(VLOOKUP(B64,'HỒ SƠ BH_XD&amp;ME_BOQ PHÁT HÀNH'!B:D,3,0),"")</f>
        <v/>
      </c>
      <c r="E64" s="12" t="str">
        <f>IFERROR(VLOOKUP(B64,'HỒ SƠ BH_XD&amp;ME_BOQ PHÁT HÀNH'!B:E,4,0),"")</f>
        <v/>
      </c>
      <c r="F64" s="12" t="str">
        <f>IFERROR(VLOOKUP(B64,'HỒ SƠ BH_XD&amp;ME_BOQ PHÁT HÀNH'!B:F,5,0),"")</f>
        <v/>
      </c>
      <c r="G64" s="12" t="str">
        <f>IFERROR(VLOOKUP(B64,'HỒ SƠ BH_XD&amp;ME_BOQ PHÁT HÀNH'!B:G,6,0),"")</f>
        <v/>
      </c>
      <c r="K64" s="60"/>
      <c r="L64" s="26" t="str">
        <f>IFERROR(VLOOKUP(H64,'DATA QUY ĐỔI BH'!E:F,2,0),"")</f>
        <v/>
      </c>
      <c r="M64" s="24" t="str">
        <f>IFERROR(VLOOKUP(L64,'DATA QUY ĐỔI BH'!B:C,2,0),"")</f>
        <v/>
      </c>
      <c r="N64" s="24" t="str">
        <f>IFERROR(VLOOKUP(L64,'DATA QUY ĐỔI BH'!B:D,3,0),"")</f>
        <v/>
      </c>
      <c r="O64" s="24" t="str">
        <f t="shared" si="1"/>
        <v/>
      </c>
    </row>
    <row r="65" spans="1:15" x14ac:dyDescent="0.25">
      <c r="A65" s="3">
        <v>61</v>
      </c>
      <c r="B65" s="3"/>
      <c r="C65" s="37"/>
      <c r="D65" s="12" t="str">
        <f>IFERROR(VLOOKUP(B65,'HỒ SƠ BH_XD&amp;ME_BOQ PHÁT HÀNH'!B:D,3,0),"")</f>
        <v/>
      </c>
      <c r="E65" s="12" t="str">
        <f>IFERROR(VLOOKUP(B65,'HỒ SƠ BH_XD&amp;ME_BOQ PHÁT HÀNH'!B:E,4,0),"")</f>
        <v/>
      </c>
      <c r="F65" s="12" t="str">
        <f>IFERROR(VLOOKUP(B65,'HỒ SƠ BH_XD&amp;ME_BOQ PHÁT HÀNH'!B:F,5,0),"")</f>
        <v/>
      </c>
      <c r="G65" s="12" t="str">
        <f>IFERROR(VLOOKUP(B65,'HỒ SƠ BH_XD&amp;ME_BOQ PHÁT HÀNH'!B:G,6,0),"")</f>
        <v/>
      </c>
      <c r="K65" s="60"/>
      <c r="L65" s="26" t="str">
        <f>IFERROR(VLOOKUP(H65,'DATA QUY ĐỔI BH'!E:F,2,0),"")</f>
        <v/>
      </c>
      <c r="M65" s="24" t="str">
        <f>IFERROR(VLOOKUP(L65,'DATA QUY ĐỔI BH'!B:C,2,0),"")</f>
        <v/>
      </c>
      <c r="N65" s="24" t="str">
        <f>IFERROR(VLOOKUP(L65,'DATA QUY ĐỔI BH'!B:D,3,0),"")</f>
        <v/>
      </c>
      <c r="O65" s="24" t="str">
        <f t="shared" si="1"/>
        <v/>
      </c>
    </row>
    <row r="66" spans="1:15" x14ac:dyDescent="0.25">
      <c r="A66" s="3">
        <v>62</v>
      </c>
      <c r="B66" s="3"/>
      <c r="C66" s="37"/>
      <c r="D66" s="12" t="str">
        <f>IFERROR(VLOOKUP(B66,'HỒ SƠ BH_XD&amp;ME_BOQ PHÁT HÀNH'!B:D,3,0),"")</f>
        <v/>
      </c>
      <c r="E66" s="12" t="str">
        <f>IFERROR(VLOOKUP(B66,'HỒ SƠ BH_XD&amp;ME_BOQ PHÁT HÀNH'!B:E,4,0),"")</f>
        <v/>
      </c>
      <c r="F66" s="12" t="str">
        <f>IFERROR(VLOOKUP(B66,'HỒ SƠ BH_XD&amp;ME_BOQ PHÁT HÀNH'!B:F,5,0),"")</f>
        <v/>
      </c>
      <c r="G66" s="12" t="str">
        <f>IFERROR(VLOOKUP(B66,'HỒ SƠ BH_XD&amp;ME_BOQ PHÁT HÀNH'!B:G,6,0),"")</f>
        <v/>
      </c>
      <c r="L66" s="26" t="str">
        <f>IFERROR(VLOOKUP(H66,'DATA QUY ĐỔI BH'!E:F,2,0),"")</f>
        <v/>
      </c>
      <c r="M66" s="24" t="str">
        <f>IFERROR(VLOOKUP(L66,'DATA QUY ĐỔI BH'!B:C,2,0),"")</f>
        <v/>
      </c>
      <c r="N66" s="24" t="str">
        <f>IFERROR(VLOOKUP(L66,'DATA QUY ĐỔI BH'!B:D,3,0),"")</f>
        <v/>
      </c>
      <c r="O66" s="24" t="str">
        <f t="shared" si="1"/>
        <v/>
      </c>
    </row>
    <row r="67" spans="1:15" x14ac:dyDescent="0.25">
      <c r="A67" s="3">
        <v>63</v>
      </c>
      <c r="B67" s="3"/>
      <c r="C67" s="37"/>
      <c r="D67" s="12" t="str">
        <f>IFERROR(VLOOKUP(B67,'HỒ SƠ BH_XD&amp;ME_BOQ PHÁT HÀNH'!B:D,3,0),"")</f>
        <v/>
      </c>
      <c r="E67" s="12" t="str">
        <f>IFERROR(VLOOKUP(B67,'HỒ SƠ BH_XD&amp;ME_BOQ PHÁT HÀNH'!B:E,4,0),"")</f>
        <v/>
      </c>
      <c r="F67" s="12" t="str">
        <f>IFERROR(VLOOKUP(B67,'HỒ SƠ BH_XD&amp;ME_BOQ PHÁT HÀNH'!B:F,5,0),"")</f>
        <v/>
      </c>
      <c r="G67" s="12" t="str">
        <f>IFERROR(VLOOKUP(B67,'HỒ SƠ BH_XD&amp;ME_BOQ PHÁT HÀNH'!B:G,6,0),"")</f>
        <v/>
      </c>
      <c r="L67" s="26" t="str">
        <f>IFERROR(VLOOKUP(H67,'DATA QUY ĐỔI BH'!E:F,2,0),"")</f>
        <v/>
      </c>
      <c r="M67" s="24" t="str">
        <f>IFERROR(VLOOKUP(L67,'DATA QUY ĐỔI BH'!B:C,2,0),"")</f>
        <v/>
      </c>
      <c r="N67" s="24" t="str">
        <f>IFERROR(VLOOKUP(L67,'DATA QUY ĐỔI BH'!B:D,3,0),"")</f>
        <v/>
      </c>
      <c r="O67" s="24" t="str">
        <f t="shared" si="1"/>
        <v/>
      </c>
    </row>
    <row r="68" spans="1:15" x14ac:dyDescent="0.25">
      <c r="B68" s="3"/>
    </row>
    <row r="69" spans="1:15" x14ac:dyDescent="0.25">
      <c r="B69" s="3"/>
    </row>
    <row r="70" spans="1:15" x14ac:dyDescent="0.25">
      <c r="B7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C30C-1CBD-4475-9434-0BB43B8C7DEF}">
  <sheetPr>
    <tabColor theme="3"/>
  </sheetPr>
  <dimension ref="A1:L69"/>
  <sheetViews>
    <sheetView zoomScale="70" zoomScaleNormal="70" workbookViewId="0">
      <pane ySplit="3" topLeftCell="A4" activePane="bottomLeft" state="frozen"/>
      <selection pane="bottomLeft" activeCell="I8" sqref="I8"/>
    </sheetView>
  </sheetViews>
  <sheetFormatPr defaultRowHeight="15" x14ac:dyDescent="0.25"/>
  <cols>
    <col min="1" max="1" width="4.7109375" customWidth="1"/>
    <col min="2" max="2" width="7.85546875" customWidth="1"/>
    <col min="3" max="3" width="31.42578125" customWidth="1"/>
    <col min="4" max="4" width="11.5703125" customWidth="1"/>
    <col min="5" max="5" width="12.42578125" style="13" customWidth="1"/>
    <col min="6" max="6" width="8.7109375" style="13" bestFit="1" customWidth="1"/>
    <col min="7" max="7" width="8.42578125" style="13" bestFit="1" customWidth="1"/>
    <col min="8" max="8" width="47.42578125" style="21" customWidth="1"/>
    <col min="9" max="9" width="9.140625" style="21" customWidth="1"/>
    <col min="10" max="10" width="11.5703125" bestFit="1" customWidth="1"/>
    <col min="11" max="11" width="28.28515625" customWidth="1"/>
    <col min="12" max="12" width="29.7109375" customWidth="1"/>
    <col min="15" max="15" width="5.7109375" customWidth="1"/>
  </cols>
  <sheetData>
    <row r="1" spans="1:12" ht="18.75" x14ac:dyDescent="0.25">
      <c r="A1" s="39" t="s">
        <v>461</v>
      </c>
      <c r="B1" s="39"/>
      <c r="C1" s="39"/>
      <c r="D1" s="39"/>
      <c r="E1" s="39"/>
      <c r="F1" s="39"/>
      <c r="G1" s="39"/>
      <c r="H1" s="39"/>
      <c r="I1" s="39"/>
      <c r="J1" s="57"/>
      <c r="K1" s="57"/>
      <c r="L1" s="57"/>
    </row>
    <row r="2" spans="1:12" x14ac:dyDescent="0.25">
      <c r="K2" s="5" t="s">
        <v>6</v>
      </c>
      <c r="L2" s="6" t="s">
        <v>6</v>
      </c>
    </row>
    <row r="3" spans="1:12" s="11" customFormat="1" ht="42.75" x14ac:dyDescent="0.25">
      <c r="A3" s="1" t="s">
        <v>1</v>
      </c>
      <c r="B3" s="36" t="s">
        <v>2</v>
      </c>
      <c r="C3" s="1" t="s">
        <v>3</v>
      </c>
      <c r="D3" s="1" t="s">
        <v>4</v>
      </c>
      <c r="E3" s="1" t="s">
        <v>334</v>
      </c>
      <c r="F3" s="1" t="s">
        <v>467</v>
      </c>
      <c r="G3" s="36" t="s">
        <v>468</v>
      </c>
      <c r="H3" s="36" t="s">
        <v>5</v>
      </c>
      <c r="I3" s="36" t="s">
        <v>339</v>
      </c>
      <c r="J3" s="2" t="s">
        <v>337</v>
      </c>
      <c r="K3" s="2" t="s">
        <v>332</v>
      </c>
      <c r="L3" s="2" t="s">
        <v>7</v>
      </c>
    </row>
    <row r="4" spans="1:12" x14ac:dyDescent="0.25">
      <c r="A4" s="3">
        <v>1</v>
      </c>
      <c r="B4" s="3" t="s">
        <v>563</v>
      </c>
      <c r="C4" s="37" t="s">
        <v>564</v>
      </c>
      <c r="D4" s="12">
        <v>46141</v>
      </c>
      <c r="E4" s="12">
        <v>46506</v>
      </c>
      <c r="F4" s="12" t="s">
        <v>469</v>
      </c>
      <c r="G4" s="12" t="s">
        <v>470</v>
      </c>
      <c r="H4" s="24" t="s">
        <v>340</v>
      </c>
      <c r="I4" s="25"/>
      <c r="J4" s="26" t="str">
        <f>IFERROR(VLOOKUP(H4,'DATA QUY ĐỔI BH'!A:B,2,0),"")</f>
        <v>BHXDA001</v>
      </c>
      <c r="K4" s="33" t="str">
        <f>IFERROR(VLOOKUP(J4,'DATA QUY ĐỔI BH'!B:C,2,0),"")</f>
        <v>Nhóm thi công xây dựng</v>
      </c>
      <c r="L4" s="33" t="str">
        <f>IFERROR(VLOOKUP(J4,'DATA QUY ĐỔI BH'!B:D,3,0),"")</f>
        <v>Nhóm thi công móng</v>
      </c>
    </row>
    <row r="5" spans="1:12" x14ac:dyDescent="0.25">
      <c r="A5" s="3">
        <v>2</v>
      </c>
      <c r="B5" s="3" t="s">
        <v>563</v>
      </c>
      <c r="C5" s="37" t="s">
        <v>564</v>
      </c>
      <c r="D5" s="12">
        <v>46141</v>
      </c>
      <c r="E5" s="12">
        <v>46506</v>
      </c>
      <c r="F5" s="12" t="s">
        <v>469</v>
      </c>
      <c r="G5" s="12" t="s">
        <v>470</v>
      </c>
      <c r="H5" s="24" t="s">
        <v>406</v>
      </c>
      <c r="I5" s="25"/>
      <c r="J5" s="26" t="str">
        <f>IFERROR(VLOOKUP(H5,'DATA QUY ĐỔI BH'!A:B,2,0),"")</f>
        <v>BHXDA001</v>
      </c>
      <c r="K5" s="33" t="str">
        <f>IFERROR(VLOOKUP(J5,'DATA QUY ĐỔI BH'!B:C,2,0),"")</f>
        <v>Nhóm thi công xây dựng</v>
      </c>
      <c r="L5" s="33" t="str">
        <f>IFERROR(VLOOKUP(J5,'DATA QUY ĐỔI BH'!B:D,3,0),"")</f>
        <v>Nhóm thi công móng</v>
      </c>
    </row>
    <row r="6" spans="1:12" x14ac:dyDescent="0.25">
      <c r="A6" s="3">
        <v>3</v>
      </c>
      <c r="B6" s="3" t="s">
        <v>563</v>
      </c>
      <c r="C6" s="37" t="s">
        <v>564</v>
      </c>
      <c r="D6" s="12">
        <v>46141</v>
      </c>
      <c r="E6" s="12">
        <v>46506</v>
      </c>
      <c r="F6" s="12" t="s">
        <v>469</v>
      </c>
      <c r="G6" s="12" t="s">
        <v>470</v>
      </c>
      <c r="H6" s="24" t="s">
        <v>405</v>
      </c>
      <c r="I6" s="25"/>
      <c r="J6" s="26" t="str">
        <f>IFERROR(VLOOKUP(H6,'DATA QUY ĐỔI BH'!A:B,2,0),"")</f>
        <v>BHXDA002</v>
      </c>
      <c r="K6" s="33" t="str">
        <f>IFERROR(VLOOKUP(J6,'DATA QUY ĐỔI BH'!B:C,2,0),"")</f>
        <v>Nhóm thi công xây dựng</v>
      </c>
      <c r="L6" s="33" t="str">
        <f>IFERROR(VLOOKUP(J6,'DATA QUY ĐỔI BH'!B:D,3,0),"")</f>
        <v>Nhóm thi công nền</v>
      </c>
    </row>
    <row r="7" spans="1:12" x14ac:dyDescent="0.25">
      <c r="A7" s="3">
        <v>4</v>
      </c>
      <c r="B7" s="3" t="s">
        <v>563</v>
      </c>
      <c r="C7" s="37" t="s">
        <v>564</v>
      </c>
      <c r="D7" s="12">
        <v>46141</v>
      </c>
      <c r="E7" s="12">
        <v>46506</v>
      </c>
      <c r="F7" s="12" t="s">
        <v>469</v>
      </c>
      <c r="G7" s="12" t="s">
        <v>470</v>
      </c>
      <c r="H7" s="24" t="s">
        <v>341</v>
      </c>
      <c r="I7" s="25"/>
      <c r="J7" s="26" t="str">
        <f>IFERROR(VLOOKUP(H7,'DATA QUY ĐỔI BH'!A:B,2,0),"")</f>
        <v>BHXDA002</v>
      </c>
      <c r="K7" s="33" t="str">
        <f>IFERROR(VLOOKUP(J7,'DATA QUY ĐỔI BH'!B:C,2,0),"")</f>
        <v>Nhóm thi công xây dựng</v>
      </c>
      <c r="L7" s="33" t="str">
        <f>IFERROR(VLOOKUP(J7,'DATA QUY ĐỔI BH'!B:D,3,0),"")</f>
        <v>Nhóm thi công nền</v>
      </c>
    </row>
    <row r="8" spans="1:12" x14ac:dyDescent="0.25">
      <c r="A8" s="3">
        <v>5</v>
      </c>
      <c r="B8" s="3" t="s">
        <v>563</v>
      </c>
      <c r="C8" s="37" t="s">
        <v>564</v>
      </c>
      <c r="D8" s="12">
        <v>46141</v>
      </c>
      <c r="E8" s="12">
        <v>46506</v>
      </c>
      <c r="F8" s="12" t="s">
        <v>469</v>
      </c>
      <c r="G8" s="12" t="s">
        <v>470</v>
      </c>
      <c r="H8" s="24" t="s">
        <v>342</v>
      </c>
      <c r="I8" s="25"/>
      <c r="J8" s="26" t="str">
        <f>IFERROR(VLOOKUP(H8,'DATA QUY ĐỔI BH'!A:B,2,0),"")</f>
        <v>BHXDA002</v>
      </c>
      <c r="K8" s="33" t="str">
        <f>IFERROR(VLOOKUP(J8,'DATA QUY ĐỔI BH'!B:C,2,0),"")</f>
        <v>Nhóm thi công xây dựng</v>
      </c>
      <c r="L8" s="33" t="str">
        <f>IFERROR(VLOOKUP(J8,'DATA QUY ĐỔI BH'!B:D,3,0),"")</f>
        <v>Nhóm thi công nền</v>
      </c>
    </row>
    <row r="9" spans="1:12" x14ac:dyDescent="0.25">
      <c r="A9" s="3">
        <v>6</v>
      </c>
      <c r="B9" s="3" t="s">
        <v>563</v>
      </c>
      <c r="C9" s="37" t="s">
        <v>564</v>
      </c>
      <c r="D9" s="12">
        <v>46141</v>
      </c>
      <c r="E9" s="12">
        <v>46506</v>
      </c>
      <c r="F9" s="12" t="s">
        <v>469</v>
      </c>
      <c r="G9" s="12" t="s">
        <v>470</v>
      </c>
      <c r="H9" s="24" t="s">
        <v>343</v>
      </c>
      <c r="I9" s="25"/>
      <c r="J9" s="26" t="str">
        <f>IFERROR(VLOOKUP(H9,'DATA QUY ĐỔI BH'!A:B,2,0),"")</f>
        <v>BHXDA003</v>
      </c>
      <c r="K9" s="33" t="str">
        <f>IFERROR(VLOOKUP(J9,'DATA QUY ĐỔI BH'!B:C,2,0),"")</f>
        <v>Nhóm thi công xây dựng</v>
      </c>
      <c r="L9" s="33" t="str">
        <f>IFERROR(VLOOKUP(J9,'DATA QUY ĐỔI BH'!B:D,3,0),"")</f>
        <v>Nhóm thi công tường/ vách</v>
      </c>
    </row>
    <row r="10" spans="1:12" x14ac:dyDescent="0.25">
      <c r="A10" s="3">
        <v>7</v>
      </c>
      <c r="B10" s="3" t="s">
        <v>563</v>
      </c>
      <c r="C10" s="37" t="s">
        <v>564</v>
      </c>
      <c r="D10" s="12">
        <v>46141</v>
      </c>
      <c r="E10" s="12">
        <v>46506</v>
      </c>
      <c r="F10" s="12" t="s">
        <v>469</v>
      </c>
      <c r="G10" s="12" t="s">
        <v>470</v>
      </c>
      <c r="H10" s="24" t="s">
        <v>498</v>
      </c>
      <c r="I10" s="25"/>
      <c r="J10" s="26" t="str">
        <f>IFERROR(VLOOKUP(H10,'DATA QUY ĐỔI BH'!A:B,2,0),"")</f>
        <v>BHXDA004</v>
      </c>
      <c r="K10" s="33" t="str">
        <f>IFERROR(VLOOKUP(J10,'DATA QUY ĐỔI BH'!B:C,2,0),"")</f>
        <v>Nhóm thi công xây dựng</v>
      </c>
      <c r="L10" s="33" t="str">
        <f>IFERROR(VLOOKUP(J10,'DATA QUY ĐỔI BH'!B:D,3,0),"")</f>
        <v>Nhóm thi công nền tầng</v>
      </c>
    </row>
    <row r="11" spans="1:12" x14ac:dyDescent="0.25">
      <c r="A11" s="3">
        <v>8</v>
      </c>
      <c r="B11" s="3" t="s">
        <v>563</v>
      </c>
      <c r="C11" s="37" t="s">
        <v>564</v>
      </c>
      <c r="D11" s="12">
        <v>46141</v>
      </c>
      <c r="E11" s="12">
        <v>46506</v>
      </c>
      <c r="F11" s="12" t="s">
        <v>469</v>
      </c>
      <c r="G11" s="12" t="s">
        <v>470</v>
      </c>
      <c r="H11" s="24" t="s">
        <v>344</v>
      </c>
      <c r="I11" s="25"/>
      <c r="J11" s="26" t="str">
        <f>IFERROR(VLOOKUP(H11,'DATA QUY ĐỔI BH'!A:B,2,0),"")</f>
        <v>BHXDA005</v>
      </c>
      <c r="K11" s="33" t="str">
        <f>IFERROR(VLOOKUP(J11,'DATA QUY ĐỔI BH'!B:C,2,0),"")</f>
        <v>Nhóm thi công xây dựng</v>
      </c>
      <c r="L11" s="33" t="str">
        <f>IFERROR(VLOOKUP(J11,'DATA QUY ĐỔI BH'!B:D,3,0),"")</f>
        <v>Nhóm thi công tường/ vách</v>
      </c>
    </row>
    <row r="12" spans="1:12" x14ac:dyDescent="0.25">
      <c r="A12" s="3">
        <v>9</v>
      </c>
      <c r="B12" s="3" t="s">
        <v>563</v>
      </c>
      <c r="C12" s="37" t="s">
        <v>564</v>
      </c>
      <c r="D12" s="12">
        <v>46141</v>
      </c>
      <c r="E12" s="12">
        <v>46506</v>
      </c>
      <c r="F12" s="12" t="s">
        <v>469</v>
      </c>
      <c r="G12" s="12" t="s">
        <v>470</v>
      </c>
      <c r="H12" s="24" t="s">
        <v>345</v>
      </c>
      <c r="I12" s="25"/>
      <c r="J12" s="26" t="str">
        <f>IFERROR(VLOOKUP(H12,'DATA QUY ĐỔI BH'!A:B,2,0),"")</f>
        <v>BHXDA005</v>
      </c>
      <c r="K12" s="33" t="str">
        <f>IFERROR(VLOOKUP(J12,'DATA QUY ĐỔI BH'!B:C,2,0),"")</f>
        <v>Nhóm thi công xây dựng</v>
      </c>
      <c r="L12" s="33" t="str">
        <f>IFERROR(VLOOKUP(J12,'DATA QUY ĐỔI BH'!B:D,3,0),"")</f>
        <v>Nhóm thi công tường/ vách</v>
      </c>
    </row>
    <row r="13" spans="1:12" x14ac:dyDescent="0.25">
      <c r="A13" s="3">
        <v>10</v>
      </c>
      <c r="B13" s="3" t="s">
        <v>563</v>
      </c>
      <c r="C13" s="37" t="s">
        <v>564</v>
      </c>
      <c r="D13" s="12">
        <v>46141</v>
      </c>
      <c r="E13" s="12">
        <v>46506</v>
      </c>
      <c r="F13" s="12" t="s">
        <v>469</v>
      </c>
      <c r="G13" s="12" t="s">
        <v>470</v>
      </c>
      <c r="H13" s="24" t="s">
        <v>346</v>
      </c>
      <c r="I13" s="25"/>
      <c r="J13" s="26" t="str">
        <f>IFERROR(VLOOKUP(H13,'DATA QUY ĐỔI BH'!A:B,2,0),"")</f>
        <v>BHXDA006</v>
      </c>
      <c r="K13" s="33" t="str">
        <f>IFERROR(VLOOKUP(J13,'DATA QUY ĐỔI BH'!B:C,2,0),"")</f>
        <v>Nhóm thi công xây dựng</v>
      </c>
      <c r="L13" s="33" t="str">
        <f>IFERROR(VLOOKUP(J13,'DATA QUY ĐỔI BH'!B:D,3,0),"")</f>
        <v>Nhóm thi công tường/ vách</v>
      </c>
    </row>
    <row r="14" spans="1:12" x14ac:dyDescent="0.25">
      <c r="A14" s="3">
        <v>11</v>
      </c>
      <c r="B14" s="3" t="s">
        <v>563</v>
      </c>
      <c r="C14" s="37" t="s">
        <v>564</v>
      </c>
      <c r="D14" s="12">
        <v>46141</v>
      </c>
      <c r="E14" s="12">
        <v>46506</v>
      </c>
      <c r="F14" s="12" t="s">
        <v>469</v>
      </c>
      <c r="G14" s="12" t="s">
        <v>470</v>
      </c>
      <c r="H14" s="24" t="s">
        <v>347</v>
      </c>
      <c r="I14" s="25"/>
      <c r="J14" s="26" t="str">
        <f>IFERROR(VLOOKUP(H14,'DATA QUY ĐỔI BH'!A:B,2,0),"")</f>
        <v>BHXDA007</v>
      </c>
      <c r="K14" s="33" t="str">
        <f>IFERROR(VLOOKUP(J14,'DATA QUY ĐỔI BH'!B:C,2,0),"")</f>
        <v>Nhóm thi công xây dựng</v>
      </c>
      <c r="L14" s="33" t="str">
        <f>IFERROR(VLOOKUP(J14,'DATA QUY ĐỔI BH'!B:D,3,0),"")</f>
        <v>Nhóm thi công tường/ vách</v>
      </c>
    </row>
    <row r="15" spans="1:12" x14ac:dyDescent="0.25">
      <c r="A15" s="3">
        <v>12</v>
      </c>
      <c r="B15" s="3" t="s">
        <v>563</v>
      </c>
      <c r="C15" s="37" t="s">
        <v>564</v>
      </c>
      <c r="D15" s="12">
        <v>46141</v>
      </c>
      <c r="E15" s="12">
        <v>46506</v>
      </c>
      <c r="F15" s="12" t="s">
        <v>469</v>
      </c>
      <c r="G15" s="12" t="s">
        <v>470</v>
      </c>
      <c r="H15" s="24" t="s">
        <v>348</v>
      </c>
      <c r="I15" s="25"/>
      <c r="J15" s="26" t="str">
        <f>IFERROR(VLOOKUP(H15,'DATA QUY ĐỔI BH'!A:B,2,0),"")</f>
        <v>BHXDA008</v>
      </c>
      <c r="K15" s="33" t="str">
        <f>IFERROR(VLOOKUP(J15,'DATA QUY ĐỔI BH'!B:C,2,0),"")</f>
        <v>Nhóm thi công xây dựng</v>
      </c>
      <c r="L15" s="33" t="str">
        <f>IFERROR(VLOOKUP(J15,'DATA QUY ĐỔI BH'!B:D,3,0),"")</f>
        <v>Nhóm thi công tường/ vách</v>
      </c>
    </row>
    <row r="16" spans="1:12" x14ac:dyDescent="0.25">
      <c r="A16" s="3">
        <v>13</v>
      </c>
      <c r="B16" s="3" t="s">
        <v>563</v>
      </c>
      <c r="C16" s="37" t="s">
        <v>564</v>
      </c>
      <c r="D16" s="12">
        <v>46141</v>
      </c>
      <c r="E16" s="12">
        <v>46506</v>
      </c>
      <c r="F16" s="12" t="s">
        <v>469</v>
      </c>
      <c r="G16" s="12" t="s">
        <v>470</v>
      </c>
      <c r="H16" s="24" t="s">
        <v>349</v>
      </c>
      <c r="I16" s="25"/>
      <c r="J16" s="26" t="str">
        <f>IFERROR(VLOOKUP(H16,'DATA QUY ĐỔI BH'!A:B,2,0),"")</f>
        <v>BHXDA009</v>
      </c>
      <c r="K16" s="33" t="str">
        <f>IFERROR(VLOOKUP(J16,'DATA QUY ĐỔI BH'!B:C,2,0),"")</f>
        <v>Nhóm thi công xây dựng</v>
      </c>
      <c r="L16" s="33" t="str">
        <f>IFERROR(VLOOKUP(J16,'DATA QUY ĐỔI BH'!B:D,3,0),"")</f>
        <v>Nhóm thi công tường/ vách</v>
      </c>
    </row>
    <row r="17" spans="1:12" x14ac:dyDescent="0.25">
      <c r="A17" s="3">
        <v>14</v>
      </c>
      <c r="B17" s="3" t="s">
        <v>563</v>
      </c>
      <c r="C17" s="37" t="s">
        <v>564</v>
      </c>
      <c r="D17" s="12">
        <v>46141</v>
      </c>
      <c r="E17" s="12">
        <v>46506</v>
      </c>
      <c r="F17" s="12" t="s">
        <v>469</v>
      </c>
      <c r="G17" s="12" t="s">
        <v>470</v>
      </c>
      <c r="H17" s="24" t="s">
        <v>350</v>
      </c>
      <c r="I17" s="25"/>
      <c r="J17" s="26" t="str">
        <f>IFERROR(VLOOKUP(H17,'DATA QUY ĐỔI BH'!A:B,2,0),"")</f>
        <v>BHXDA010</v>
      </c>
      <c r="K17" s="33" t="str">
        <f>IFERROR(VLOOKUP(J17,'DATA QUY ĐỔI BH'!B:C,2,0),"")</f>
        <v>Nhóm thi công xây dựng</v>
      </c>
      <c r="L17" s="33" t="str">
        <f>IFERROR(VLOOKUP(J17,'DATA QUY ĐỔI BH'!B:D,3,0),"")</f>
        <v>Nhóm thi công tường/ vách</v>
      </c>
    </row>
    <row r="18" spans="1:12" x14ac:dyDescent="0.25">
      <c r="A18" s="3">
        <v>15</v>
      </c>
      <c r="B18" s="3" t="s">
        <v>563</v>
      </c>
      <c r="C18" s="37" t="s">
        <v>564</v>
      </c>
      <c r="D18" s="12">
        <v>46141</v>
      </c>
      <c r="E18" s="12">
        <v>46506</v>
      </c>
      <c r="F18" s="12" t="s">
        <v>469</v>
      </c>
      <c r="G18" s="12" t="s">
        <v>470</v>
      </c>
      <c r="H18" s="24" t="s">
        <v>351</v>
      </c>
      <c r="I18" s="25"/>
      <c r="J18" s="26" t="str">
        <f>IFERROR(VLOOKUP(H18,'DATA QUY ĐỔI BH'!A:B,2,0),"")</f>
        <v>BHXDA011</v>
      </c>
      <c r="K18" s="33" t="str">
        <f>IFERROR(VLOOKUP(J18,'DATA QUY ĐỔI BH'!B:C,2,0),"")</f>
        <v>Nhóm thi công xây dựng</v>
      </c>
      <c r="L18" s="33" t="str">
        <f>IFERROR(VLOOKUP(J18,'DATA QUY ĐỔI BH'!B:D,3,0),"")</f>
        <v>Nhóm thi công tường/ vách</v>
      </c>
    </row>
    <row r="19" spans="1:12" x14ac:dyDescent="0.25">
      <c r="A19" s="3">
        <v>16</v>
      </c>
      <c r="B19" s="3" t="s">
        <v>563</v>
      </c>
      <c r="C19" s="37" t="s">
        <v>564</v>
      </c>
      <c r="D19" s="12">
        <v>46141</v>
      </c>
      <c r="E19" s="12">
        <v>46506</v>
      </c>
      <c r="F19" s="12" t="s">
        <v>469</v>
      </c>
      <c r="G19" s="12" t="s">
        <v>470</v>
      </c>
      <c r="H19" s="24" t="s">
        <v>352</v>
      </c>
      <c r="I19" s="25"/>
      <c r="J19" s="26" t="str">
        <f>IFERROR(VLOOKUP(H19,'DATA QUY ĐỔI BH'!A:B,2,0),"")</f>
        <v>BHXDA012</v>
      </c>
      <c r="K19" s="33" t="str">
        <f>IFERROR(VLOOKUP(J19,'DATA QUY ĐỔI BH'!B:C,2,0),"")</f>
        <v>Nhóm thi công xây dựng</v>
      </c>
      <c r="L19" s="33" t="str">
        <f>IFERROR(VLOOKUP(J19,'DATA QUY ĐỔI BH'!B:D,3,0),"")</f>
        <v>Nhóm thi công cửa</v>
      </c>
    </row>
    <row r="20" spans="1:12" x14ac:dyDescent="0.25">
      <c r="A20" s="3">
        <v>17</v>
      </c>
      <c r="B20" s="3" t="s">
        <v>563</v>
      </c>
      <c r="C20" s="37" t="s">
        <v>564</v>
      </c>
      <c r="D20" s="12">
        <v>46141</v>
      </c>
      <c r="E20" s="12">
        <v>46506</v>
      </c>
      <c r="F20" s="12" t="s">
        <v>469</v>
      </c>
      <c r="G20" s="12" t="s">
        <v>470</v>
      </c>
      <c r="H20" s="24" t="s">
        <v>353</v>
      </c>
      <c r="I20" s="25"/>
      <c r="J20" s="26" t="str">
        <f>IFERROR(VLOOKUP(H20,'DATA QUY ĐỔI BH'!A:B,2,0),"")</f>
        <v>BHXDA013</v>
      </c>
      <c r="K20" s="33" t="str">
        <f>IFERROR(VLOOKUP(J20,'DATA QUY ĐỔI BH'!B:C,2,0),"")</f>
        <v>Nhóm thi công xây dựng</v>
      </c>
      <c r="L20" s="33" t="str">
        <f>IFERROR(VLOOKUP(J20,'DATA QUY ĐỔI BH'!B:D,3,0),"")</f>
        <v>Nhóm thi công cửa</v>
      </c>
    </row>
    <row r="21" spans="1:12" x14ac:dyDescent="0.25">
      <c r="A21" s="3">
        <v>18</v>
      </c>
      <c r="B21" s="3" t="s">
        <v>563</v>
      </c>
      <c r="C21" s="37" t="s">
        <v>564</v>
      </c>
      <c r="D21" s="12">
        <v>46141</v>
      </c>
      <c r="E21" s="12">
        <v>46506</v>
      </c>
      <c r="F21" s="12" t="s">
        <v>469</v>
      </c>
      <c r="G21" s="12" t="s">
        <v>470</v>
      </c>
      <c r="H21" s="24" t="s">
        <v>354</v>
      </c>
      <c r="I21" s="25"/>
      <c r="J21" s="26" t="str">
        <f>IFERROR(VLOOKUP(H21,'DATA QUY ĐỔI BH'!A:B,2,0),"")</f>
        <v>BHXDA014</v>
      </c>
      <c r="K21" s="33" t="str">
        <f>IFERROR(VLOOKUP(J21,'DATA QUY ĐỔI BH'!B:C,2,0),"")</f>
        <v>Nhóm thi công xây dựng</v>
      </c>
      <c r="L21" s="33" t="str">
        <f>IFERROR(VLOOKUP(J21,'DATA QUY ĐỔI BH'!B:D,3,0),"")</f>
        <v>Nhóm thi công cửa</v>
      </c>
    </row>
    <row r="22" spans="1:12" x14ac:dyDescent="0.25">
      <c r="A22" s="3">
        <v>19</v>
      </c>
      <c r="B22" s="3" t="s">
        <v>563</v>
      </c>
      <c r="C22" s="37" t="s">
        <v>564</v>
      </c>
      <c r="D22" s="12">
        <v>46141</v>
      </c>
      <c r="E22" s="12">
        <v>46506</v>
      </c>
      <c r="F22" s="12" t="s">
        <v>469</v>
      </c>
      <c r="G22" s="12" t="s">
        <v>470</v>
      </c>
      <c r="H22" s="24" t="s">
        <v>355</v>
      </c>
      <c r="I22" s="25"/>
      <c r="J22" s="26" t="str">
        <f>IFERROR(VLOOKUP(H22,'DATA QUY ĐỔI BH'!A:B,2,0),"")</f>
        <v>BHXDA015</v>
      </c>
      <c r="K22" s="33" t="str">
        <f>IFERROR(VLOOKUP(J22,'DATA QUY ĐỔI BH'!B:C,2,0),"")</f>
        <v>Nhóm thi công xây dựng</v>
      </c>
      <c r="L22" s="33" t="str">
        <f>IFERROR(VLOOKUP(J22,'DATA QUY ĐỔI BH'!B:D,3,0),"")</f>
        <v>Nhóm thi công cửa</v>
      </c>
    </row>
    <row r="23" spans="1:12" x14ac:dyDescent="0.25">
      <c r="A23" s="3">
        <v>20</v>
      </c>
      <c r="B23" s="3" t="s">
        <v>563</v>
      </c>
      <c r="C23" s="37" t="s">
        <v>564</v>
      </c>
      <c r="D23" s="12">
        <v>46141</v>
      </c>
      <c r="E23" s="12">
        <v>46506</v>
      </c>
      <c r="F23" s="12" t="s">
        <v>469</v>
      </c>
      <c r="G23" s="12" t="s">
        <v>470</v>
      </c>
      <c r="H23" s="24" t="s">
        <v>356</v>
      </c>
      <c r="I23" s="25"/>
      <c r="J23" s="26" t="str">
        <f>IFERROR(VLOOKUP(H23,'DATA QUY ĐỔI BH'!A:B,2,0),"")</f>
        <v>BHXDA016</v>
      </c>
      <c r="K23" s="33" t="str">
        <f>IFERROR(VLOOKUP(J23,'DATA QUY ĐỔI BH'!B:C,2,0),"")</f>
        <v>Nhóm thi công xây dựng</v>
      </c>
      <c r="L23" s="33" t="str">
        <f>IFERROR(VLOOKUP(J23,'DATA QUY ĐỔI BH'!B:D,3,0),"")</f>
        <v>Nhóm thi công rèm che</v>
      </c>
    </row>
    <row r="24" spans="1:12" x14ac:dyDescent="0.25">
      <c r="A24" s="3">
        <v>21</v>
      </c>
      <c r="B24" s="3" t="s">
        <v>563</v>
      </c>
      <c r="C24" s="37" t="s">
        <v>564</v>
      </c>
      <c r="D24" s="12">
        <v>46141</v>
      </c>
      <c r="E24" s="12">
        <v>46506</v>
      </c>
      <c r="F24" s="12" t="s">
        <v>469</v>
      </c>
      <c r="G24" s="12" t="s">
        <v>470</v>
      </c>
      <c r="H24" s="24" t="s">
        <v>357</v>
      </c>
      <c r="I24" s="25"/>
      <c r="J24" s="26" t="str">
        <f>IFERROR(VLOOKUP(H24,'DATA QUY ĐỔI BH'!A:B,2,0),"")</f>
        <v>BHXDA017</v>
      </c>
      <c r="K24" s="33" t="str">
        <f>IFERROR(VLOOKUP(J24,'DATA QUY ĐỔI BH'!B:C,2,0),"")</f>
        <v>Nhóm thi công xây dựng</v>
      </c>
      <c r="L24" s="33" t="str">
        <f>IFERROR(VLOOKUP(J24,'DATA QUY ĐỔI BH'!B:D,3,0),"")</f>
        <v>Nhóm thi công cầu thang, lan can</v>
      </c>
    </row>
    <row r="25" spans="1:12" x14ac:dyDescent="0.25">
      <c r="A25" s="3">
        <v>22</v>
      </c>
      <c r="B25" s="3" t="s">
        <v>563</v>
      </c>
      <c r="C25" s="37" t="s">
        <v>564</v>
      </c>
      <c r="D25" s="12">
        <v>46141</v>
      </c>
      <c r="E25" s="12">
        <v>46506</v>
      </c>
      <c r="F25" s="12" t="s">
        <v>469</v>
      </c>
      <c r="G25" s="12" t="s">
        <v>470</v>
      </c>
      <c r="H25" s="24" t="s">
        <v>358</v>
      </c>
      <c r="I25" s="25"/>
      <c r="J25" s="26" t="str">
        <f>IFERROR(VLOOKUP(H25,'DATA QUY ĐỔI BH'!A:B,2,0),"")</f>
        <v>BHXDA018</v>
      </c>
      <c r="K25" s="33" t="str">
        <f>IFERROR(VLOOKUP(J25,'DATA QUY ĐỔI BH'!B:C,2,0),"")</f>
        <v>Nhóm thi công xây dựng</v>
      </c>
      <c r="L25" s="33" t="str">
        <f>IFERROR(VLOOKUP(J25,'DATA QUY ĐỔI BH'!B:D,3,0),"")</f>
        <v>Nhóm thi công trần</v>
      </c>
    </row>
    <row r="26" spans="1:12" x14ac:dyDescent="0.25">
      <c r="A26" s="3">
        <v>23</v>
      </c>
      <c r="B26" s="3" t="s">
        <v>563</v>
      </c>
      <c r="C26" s="37" t="s">
        <v>564</v>
      </c>
      <c r="D26" s="12">
        <v>46141</v>
      </c>
      <c r="E26" s="12">
        <v>46506</v>
      </c>
      <c r="F26" s="12" t="s">
        <v>469</v>
      </c>
      <c r="G26" s="12" t="s">
        <v>470</v>
      </c>
      <c r="H26" s="24" t="s">
        <v>359</v>
      </c>
      <c r="I26" s="25"/>
      <c r="J26" s="26" t="str">
        <f>IFERROR(VLOOKUP(H26,'DATA QUY ĐỔI BH'!A:B,2,0),"")</f>
        <v>BHXDA019</v>
      </c>
      <c r="K26" s="33" t="str">
        <f>IFERROR(VLOOKUP(J26,'DATA QUY ĐỔI BH'!B:C,2,0),"")</f>
        <v>Nhóm thi công xây dựng</v>
      </c>
      <c r="L26" s="33" t="str">
        <f>IFERROR(VLOOKUP(J26,'DATA QUY ĐỔI BH'!B:D,3,0),"")</f>
        <v>Nhóm thi công mái</v>
      </c>
    </row>
    <row r="27" spans="1:12" x14ac:dyDescent="0.25">
      <c r="A27" s="3">
        <v>24</v>
      </c>
      <c r="B27" s="3" t="s">
        <v>563</v>
      </c>
      <c r="C27" s="37" t="s">
        <v>564</v>
      </c>
      <c r="D27" s="12">
        <v>46141</v>
      </c>
      <c r="E27" s="12">
        <v>46506</v>
      </c>
      <c r="F27" s="12" t="s">
        <v>469</v>
      </c>
      <c r="G27" s="12" t="s">
        <v>470</v>
      </c>
      <c r="H27" s="24" t="s">
        <v>513</v>
      </c>
      <c r="I27" s="25"/>
      <c r="J27" s="26" t="str">
        <f>IFERROR(VLOOKUP(H27,'DATA QUY ĐỔI BH'!A:B,2,0),"")</f>
        <v>BHXDA020</v>
      </c>
      <c r="K27" s="33" t="str">
        <f>IFERROR(VLOOKUP(J27,'DATA QUY ĐỔI BH'!B:C,2,0),"")</f>
        <v>Nhóm thi công xây dựng</v>
      </c>
      <c r="L27" s="33" t="str">
        <f>IFERROR(VLOOKUP(J27,'DATA QUY ĐỔI BH'!B:D,3,0),"")</f>
        <v>Nhóm thi công khung xương thép</v>
      </c>
    </row>
    <row r="28" spans="1:12" x14ac:dyDescent="0.25">
      <c r="A28" s="3">
        <v>25</v>
      </c>
      <c r="B28" s="3" t="s">
        <v>563</v>
      </c>
      <c r="C28" s="37" t="s">
        <v>564</v>
      </c>
      <c r="D28" s="12">
        <v>46141</v>
      </c>
      <c r="E28" s="12">
        <v>46506</v>
      </c>
      <c r="F28" s="12" t="s">
        <v>469</v>
      </c>
      <c r="G28" s="12" t="s">
        <v>470</v>
      </c>
      <c r="H28" s="24" t="s">
        <v>360</v>
      </c>
      <c r="I28" s="25"/>
      <c r="J28" s="26" t="str">
        <f>IFERROR(VLOOKUP(H28,'DATA QUY ĐỔI BH'!A:B,2,0),"")</f>
        <v>BHXDA021</v>
      </c>
      <c r="K28" s="33" t="str">
        <f>IFERROR(VLOOKUP(J28,'DATA QUY ĐỔI BH'!B:C,2,0),"")</f>
        <v>Nhóm thi công xây dựng</v>
      </c>
      <c r="L28" s="33" t="str">
        <f>IFERROR(VLOOKUP(J28,'DATA QUY ĐỔI BH'!B:D,3,0),"")</f>
        <v>Nhóm thi công khung xương thép</v>
      </c>
    </row>
    <row r="29" spans="1:12" x14ac:dyDescent="0.25">
      <c r="A29" s="3">
        <v>26</v>
      </c>
      <c r="B29" s="3" t="s">
        <v>563</v>
      </c>
      <c r="C29" s="37" t="s">
        <v>564</v>
      </c>
      <c r="D29" s="12">
        <v>46141</v>
      </c>
      <c r="E29" s="12">
        <v>46506</v>
      </c>
      <c r="F29" s="12" t="s">
        <v>469</v>
      </c>
      <c r="G29" s="12" t="s">
        <v>470</v>
      </c>
      <c r="H29" s="24" t="s">
        <v>361</v>
      </c>
      <c r="I29" s="25"/>
      <c r="J29" s="26" t="str">
        <f>IFERROR(VLOOKUP(H29,'DATA QUY ĐỔI BH'!A:B,2,0),"")</f>
        <v>BHXDA022</v>
      </c>
      <c r="K29" s="33" t="str">
        <f>IFERROR(VLOOKUP(J29,'DATA QUY ĐỔI BH'!B:C,2,0),"")</f>
        <v>Nhóm thi công xây dựng</v>
      </c>
      <c r="L29" s="33" t="str">
        <f>IFERROR(VLOOKUP(J29,'DATA QUY ĐỔI BH'!B:D,3,0),"")</f>
        <v>Nhóm thi công khung xương thép</v>
      </c>
    </row>
    <row r="30" spans="1:12" x14ac:dyDescent="0.25">
      <c r="A30" s="3">
        <v>27</v>
      </c>
      <c r="B30" s="3" t="s">
        <v>563</v>
      </c>
      <c r="C30" s="37" t="s">
        <v>564</v>
      </c>
      <c r="D30" s="12">
        <v>46141</v>
      </c>
      <c r="E30" s="12">
        <v>46506</v>
      </c>
      <c r="F30" s="12" t="s">
        <v>469</v>
      </c>
      <c r="G30" s="12" t="s">
        <v>470</v>
      </c>
      <c r="H30" s="24" t="s">
        <v>362</v>
      </c>
      <c r="I30" s="25"/>
      <c r="J30" s="26" t="str">
        <f>IFERROR(VLOOKUP(H30,'DATA QUY ĐỔI BH'!A:B,2,0),"")</f>
        <v>BHXDA023</v>
      </c>
      <c r="K30" s="33" t="str">
        <f>IFERROR(VLOOKUP(J30,'DATA QUY ĐỔI BH'!B:C,2,0),"")</f>
        <v>Nhóm thi công xây dựng</v>
      </c>
      <c r="L30" s="33" t="str">
        <f>IFERROR(VLOOKUP(J30,'DATA QUY ĐỔI BH'!B:D,3,0),"")</f>
        <v>Nhóm thi công máng</v>
      </c>
    </row>
    <row r="31" spans="1:12" x14ac:dyDescent="0.25">
      <c r="A31" s="3">
        <v>28</v>
      </c>
      <c r="B31" s="3" t="s">
        <v>563</v>
      </c>
      <c r="C31" s="37" t="s">
        <v>564</v>
      </c>
      <c r="D31" s="12">
        <v>46141</v>
      </c>
      <c r="E31" s="12">
        <v>46506</v>
      </c>
      <c r="F31" s="12" t="s">
        <v>469</v>
      </c>
      <c r="G31" s="12" t="s">
        <v>470</v>
      </c>
      <c r="H31" s="24" t="s">
        <v>404</v>
      </c>
      <c r="I31" s="25"/>
      <c r="J31" s="26" t="str">
        <f>IFERROR(VLOOKUP(H31,'DATA QUY ĐỔI BH'!A:B,2,0),"")</f>
        <v>BHXDA024</v>
      </c>
      <c r="K31" s="33" t="str">
        <f>IFERROR(VLOOKUP(J31,'DATA QUY ĐỔI BH'!B:C,2,0),"")</f>
        <v>Nhóm thi công xây dựng</v>
      </c>
      <c r="L31" s="33" t="str">
        <f>IFERROR(VLOOKUP(J31,'DATA QUY ĐỔI BH'!B:D,3,0),"")</f>
        <v>Nhóm thi công máng</v>
      </c>
    </row>
    <row r="32" spans="1:12" x14ac:dyDescent="0.25">
      <c r="A32" s="3">
        <v>29</v>
      </c>
      <c r="B32" s="3" t="s">
        <v>563</v>
      </c>
      <c r="C32" s="37" t="s">
        <v>564</v>
      </c>
      <c r="D32" s="12">
        <v>46141</v>
      </c>
      <c r="E32" s="12">
        <v>46506</v>
      </c>
      <c r="F32" s="12" t="s">
        <v>469</v>
      </c>
      <c r="G32" s="12" t="s">
        <v>470</v>
      </c>
      <c r="H32" s="24" t="s">
        <v>363</v>
      </c>
      <c r="I32" s="25"/>
      <c r="J32" s="26" t="str">
        <f>IFERROR(VLOOKUP(H32,'DATA QUY ĐỔI BH'!A:B,2,0),"")</f>
        <v>BHXDA025</v>
      </c>
      <c r="K32" s="33" t="str">
        <f>IFERROR(VLOOKUP(J32,'DATA QUY ĐỔI BH'!B:C,2,0),"")</f>
        <v>Nhóm thi công xây dựng</v>
      </c>
      <c r="L32" s="33" t="str">
        <f>IFERROR(VLOOKUP(J32,'DATA QUY ĐỔI BH'!B:D,3,0),"")</f>
        <v>Nhóm thi công tường.</v>
      </c>
    </row>
    <row r="33" spans="1:12" x14ac:dyDescent="0.25">
      <c r="A33" s="3">
        <v>30</v>
      </c>
      <c r="B33" s="3" t="s">
        <v>563</v>
      </c>
      <c r="C33" s="37" t="s">
        <v>564</v>
      </c>
      <c r="D33" s="12">
        <v>46141</v>
      </c>
      <c r="E33" s="12">
        <v>46506</v>
      </c>
      <c r="F33" s="12" t="s">
        <v>469</v>
      </c>
      <c r="G33" s="12" t="s">
        <v>470</v>
      </c>
      <c r="H33" s="24" t="s">
        <v>364</v>
      </c>
      <c r="I33" s="25"/>
      <c r="J33" s="26" t="str">
        <f>IFERROR(VLOOKUP(H33,'DATA QUY ĐỔI BH'!A:B,2,0),"")</f>
        <v>BHXDA026</v>
      </c>
      <c r="K33" s="33" t="str">
        <f>IFERROR(VLOOKUP(J33,'DATA QUY ĐỔI BH'!B:C,2,0),"")</f>
        <v>Nhóm thi công xây dựng</v>
      </c>
      <c r="L33" s="33" t="str">
        <f>IFERROR(VLOOKUP(J33,'DATA QUY ĐỔI BH'!B:D,3,0),"")</f>
        <v>Nhóm thi công mái</v>
      </c>
    </row>
    <row r="34" spans="1:12" x14ac:dyDescent="0.25">
      <c r="A34" s="3">
        <v>31</v>
      </c>
      <c r="B34" s="3" t="s">
        <v>563</v>
      </c>
      <c r="C34" s="37" t="s">
        <v>564</v>
      </c>
      <c r="D34" s="12">
        <v>46141</v>
      </c>
      <c r="E34" s="12">
        <v>46506</v>
      </c>
      <c r="F34" s="12" t="s">
        <v>469</v>
      </c>
      <c r="G34" s="12" t="s">
        <v>470</v>
      </c>
      <c r="H34" s="24" t="s">
        <v>593</v>
      </c>
      <c r="I34" s="25"/>
      <c r="J34" s="26" t="str">
        <f>IFERROR(VLOOKUP(H34,'DATA QUY ĐỔI BH'!A:B,2,0),"")</f>
        <v>BHXDA027</v>
      </c>
      <c r="K34" s="33" t="str">
        <f>IFERROR(VLOOKUP(J34,'DATA QUY ĐỔI BH'!B:C,2,0),"")</f>
        <v>Nhóm thi công xây dựng</v>
      </c>
      <c r="L34" s="33" t="str">
        <f>IFERROR(VLOOKUP(J34,'DATA QUY ĐỔI BH'!B:D,3,0),"")</f>
        <v>Nhóm thi công mái</v>
      </c>
    </row>
    <row r="35" spans="1:12" x14ac:dyDescent="0.25">
      <c r="A35" s="3">
        <v>32</v>
      </c>
      <c r="B35" s="3" t="s">
        <v>563</v>
      </c>
      <c r="C35" s="37" t="s">
        <v>564</v>
      </c>
      <c r="D35" s="12">
        <v>46141</v>
      </c>
      <c r="E35" s="12">
        <v>46506</v>
      </c>
      <c r="F35" s="12" t="s">
        <v>469</v>
      </c>
      <c r="G35" s="12" t="s">
        <v>470</v>
      </c>
      <c r="H35" s="24" t="s">
        <v>521</v>
      </c>
      <c r="I35" s="25"/>
      <c r="J35" s="26" t="str">
        <f>IFERROR(VLOOKUP(H35,'DATA QUY ĐỔI BH'!A:B,2,0),"")</f>
        <v>BHXDA028</v>
      </c>
      <c r="K35" s="33" t="str">
        <f>IFERROR(VLOOKUP(J35,'DATA QUY ĐỔI BH'!B:C,2,0),"")</f>
        <v>Nhóm thi công xây dựng</v>
      </c>
      <c r="L35" s="33" t="str">
        <f>IFERROR(VLOOKUP(J35,'DATA QUY ĐỔI BH'!B:D,3,0),"")</f>
        <v>Nhóm TTB vệ sinh</v>
      </c>
    </row>
    <row r="36" spans="1:12" x14ac:dyDescent="0.25">
      <c r="A36" s="3">
        <v>33</v>
      </c>
      <c r="B36" s="3" t="s">
        <v>563</v>
      </c>
      <c r="C36" s="37" t="s">
        <v>564</v>
      </c>
      <c r="D36" s="12">
        <v>46141</v>
      </c>
      <c r="E36" s="12">
        <v>46506</v>
      </c>
      <c r="F36" s="12" t="s">
        <v>469</v>
      </c>
      <c r="G36" s="12" t="s">
        <v>470</v>
      </c>
      <c r="H36" s="24" t="s">
        <v>522</v>
      </c>
      <c r="I36" s="25"/>
      <c r="J36" s="26" t="str">
        <f>IFERROR(VLOOKUP(H36,'DATA QUY ĐỔI BH'!A:B,2,0),"")</f>
        <v>BHXDA029</v>
      </c>
      <c r="K36" s="33" t="str">
        <f>IFERROR(VLOOKUP(J36,'DATA QUY ĐỔI BH'!B:C,2,0),"")</f>
        <v>Nhóm thi công xây dựng</v>
      </c>
      <c r="L36" s="33" t="str">
        <f>IFERROR(VLOOKUP(J36,'DATA QUY ĐỔI BH'!B:D,3,0),"")</f>
        <v>Nhóm TTB vệ sinh</v>
      </c>
    </row>
    <row r="37" spans="1:12" x14ac:dyDescent="0.25">
      <c r="A37" s="3">
        <v>34</v>
      </c>
      <c r="B37" s="3" t="s">
        <v>563</v>
      </c>
      <c r="C37" s="37" t="s">
        <v>564</v>
      </c>
      <c r="D37" s="12">
        <v>46141</v>
      </c>
      <c r="E37" s="12">
        <v>46506</v>
      </c>
      <c r="F37" s="12" t="s">
        <v>469</v>
      </c>
      <c r="G37" s="12" t="s">
        <v>470</v>
      </c>
      <c r="H37" s="24" t="s">
        <v>525</v>
      </c>
      <c r="I37" s="25"/>
      <c r="J37" s="26" t="str">
        <f>IFERROR(VLOOKUP(H37,'DATA QUY ĐỔI BH'!A:B,2,0),"")</f>
        <v>BHXDA030</v>
      </c>
      <c r="K37" s="33" t="str">
        <f>IFERROR(VLOOKUP(J37,'DATA QUY ĐỔI BH'!B:C,2,0),"")</f>
        <v>Nhóm thi công xây dựng</v>
      </c>
      <c r="L37" s="33" t="str">
        <f>IFERROR(VLOOKUP(J37,'DATA QUY ĐỔI BH'!B:D,3,0),"")</f>
        <v>Nhóm TTB vệ sinh</v>
      </c>
    </row>
    <row r="38" spans="1:12" x14ac:dyDescent="0.25">
      <c r="A38" s="3">
        <v>35</v>
      </c>
      <c r="B38" s="3" t="s">
        <v>563</v>
      </c>
      <c r="C38" s="37" t="s">
        <v>564</v>
      </c>
      <c r="D38" s="12">
        <v>46141</v>
      </c>
      <c r="E38" s="12">
        <v>46506</v>
      </c>
      <c r="F38" s="12" t="s">
        <v>469</v>
      </c>
      <c r="G38" s="12" t="s">
        <v>470</v>
      </c>
      <c r="H38" s="27" t="s">
        <v>365</v>
      </c>
      <c r="I38" s="28"/>
      <c r="J38" s="26" t="str">
        <f>IFERROR(VLOOKUP(H38,'DATA QUY ĐỔI BH'!A:B,2,0),"")</f>
        <v>BHXDA031</v>
      </c>
      <c r="K38" s="33" t="str">
        <f>IFERROR(VLOOKUP(J38,'DATA QUY ĐỔI BH'!B:C,2,0),"")</f>
        <v>Nhóm thi công cơ điện</v>
      </c>
      <c r="L38" s="33" t="str">
        <f>IFERROR(VLOOKUP(J38,'DATA QUY ĐỔI BH'!B:D,3,0),"")</f>
        <v>Nhóm TTB điện</v>
      </c>
    </row>
    <row r="39" spans="1:12" x14ac:dyDescent="0.25">
      <c r="A39" s="3">
        <v>36</v>
      </c>
      <c r="B39" s="3" t="s">
        <v>563</v>
      </c>
      <c r="C39" s="37" t="s">
        <v>564</v>
      </c>
      <c r="D39" s="12">
        <v>46141</v>
      </c>
      <c r="E39" s="12">
        <v>46506</v>
      </c>
      <c r="F39" s="12" t="s">
        <v>469</v>
      </c>
      <c r="G39" s="12" t="s">
        <v>470</v>
      </c>
      <c r="H39" s="27" t="s">
        <v>366</v>
      </c>
      <c r="I39" s="28"/>
      <c r="J39" s="26" t="str">
        <f>IFERROR(VLOOKUP(H39,'DATA QUY ĐỔI BH'!A:B,2,0),"")</f>
        <v>BHXDA032</v>
      </c>
      <c r="K39" s="33" t="str">
        <f>IFERROR(VLOOKUP(J39,'DATA QUY ĐỔI BH'!B:C,2,0),"")</f>
        <v>Nhóm thi công cơ điện</v>
      </c>
      <c r="L39" s="33" t="str">
        <f>IFERROR(VLOOKUP(J39,'DATA QUY ĐỔI BH'!B:D,3,0),"")</f>
        <v>Nhóm TTB mạng</v>
      </c>
    </row>
    <row r="40" spans="1:12" x14ac:dyDescent="0.25">
      <c r="A40" s="3">
        <v>37</v>
      </c>
      <c r="B40" s="3" t="s">
        <v>563</v>
      </c>
      <c r="C40" s="37" t="s">
        <v>564</v>
      </c>
      <c r="D40" s="12">
        <v>46141</v>
      </c>
      <c r="E40" s="12">
        <v>46506</v>
      </c>
      <c r="F40" s="12" t="s">
        <v>469</v>
      </c>
      <c r="G40" s="12" t="s">
        <v>470</v>
      </c>
      <c r="H40" s="27" t="s">
        <v>367</v>
      </c>
      <c r="I40" s="28"/>
      <c r="J40" s="26" t="str">
        <f>IFERROR(VLOOKUP(H40,'DATA QUY ĐỔI BH'!A:B,2,0),"")</f>
        <v>BHXDA033</v>
      </c>
      <c r="K40" s="33" t="str">
        <f>IFERROR(VLOOKUP(J40,'DATA QUY ĐỔI BH'!B:C,2,0),"")</f>
        <v>Nhóm thi công cơ điện</v>
      </c>
      <c r="L40" s="33" t="str">
        <f>IFERROR(VLOOKUP(J40,'DATA QUY ĐỔI BH'!B:D,3,0),"")</f>
        <v>Nhóm TTB điện</v>
      </c>
    </row>
    <row r="41" spans="1:12" x14ac:dyDescent="0.25">
      <c r="A41" s="3">
        <v>38</v>
      </c>
      <c r="B41" s="3" t="s">
        <v>563</v>
      </c>
      <c r="C41" s="37" t="s">
        <v>564</v>
      </c>
      <c r="D41" s="12">
        <v>46141</v>
      </c>
      <c r="E41" s="12">
        <v>46506</v>
      </c>
      <c r="F41" s="12" t="s">
        <v>469</v>
      </c>
      <c r="G41" s="12" t="s">
        <v>470</v>
      </c>
      <c r="H41" s="27" t="s">
        <v>368</v>
      </c>
      <c r="I41" s="28"/>
      <c r="J41" s="26" t="str">
        <f>IFERROR(VLOOKUP(H41,'DATA QUY ĐỔI BH'!A:B,2,0),"")</f>
        <v>BHXDA034</v>
      </c>
      <c r="K41" s="33" t="str">
        <f>IFERROR(VLOOKUP(J41,'DATA QUY ĐỔI BH'!B:C,2,0),"")</f>
        <v>Nhóm thi công cơ điện</v>
      </c>
      <c r="L41" s="33" t="str">
        <f>IFERROR(VLOOKUP(J41,'DATA QUY ĐỔI BH'!B:D,3,0),"")</f>
        <v>Nhóm TTB mạng</v>
      </c>
    </row>
    <row r="42" spans="1:12" x14ac:dyDescent="0.25">
      <c r="A42" s="3">
        <v>39</v>
      </c>
      <c r="B42" s="3" t="s">
        <v>563</v>
      </c>
      <c r="C42" s="37" t="s">
        <v>564</v>
      </c>
      <c r="D42" s="12">
        <v>46141</v>
      </c>
      <c r="E42" s="12">
        <v>46506</v>
      </c>
      <c r="F42" s="12" t="s">
        <v>469</v>
      </c>
      <c r="G42" s="12" t="s">
        <v>470</v>
      </c>
      <c r="H42" s="27" t="s">
        <v>369</v>
      </c>
      <c r="I42" s="28"/>
      <c r="J42" s="26" t="str">
        <f>IFERROR(VLOOKUP(H42,'DATA QUY ĐỔI BH'!A:B,2,0),"")</f>
        <v>BHXDA035</v>
      </c>
      <c r="K42" s="33" t="str">
        <f>IFERROR(VLOOKUP(J42,'DATA QUY ĐỔI BH'!B:C,2,0),"")</f>
        <v>Nhóm thi công cơ điện</v>
      </c>
      <c r="L42" s="33" t="str">
        <f>IFERROR(VLOOKUP(J42,'DATA QUY ĐỔI BH'!B:D,3,0),"")</f>
        <v>Nhóm TTB điện</v>
      </c>
    </row>
    <row r="43" spans="1:12" x14ac:dyDescent="0.25">
      <c r="A43" s="3">
        <v>40</v>
      </c>
      <c r="B43" s="3" t="s">
        <v>563</v>
      </c>
      <c r="C43" s="37" t="s">
        <v>564</v>
      </c>
      <c r="D43" s="12">
        <v>46141</v>
      </c>
      <c r="E43" s="12">
        <v>46506</v>
      </c>
      <c r="F43" s="12" t="s">
        <v>469</v>
      </c>
      <c r="G43" s="12" t="s">
        <v>470</v>
      </c>
      <c r="H43" s="27" t="s">
        <v>370</v>
      </c>
      <c r="I43" s="28"/>
      <c r="J43" s="26" t="str">
        <f>IFERROR(VLOOKUP(H43,'DATA QUY ĐỔI BH'!A:B,2,0),"")</f>
        <v>BHXDA036</v>
      </c>
      <c r="K43" s="33" t="str">
        <f>IFERROR(VLOOKUP(J43,'DATA QUY ĐỔI BH'!B:C,2,0),"")</f>
        <v>Nhóm thi công cơ điện</v>
      </c>
      <c r="L43" s="33" t="str">
        <f>IFERROR(VLOOKUP(J43,'DATA QUY ĐỔI BH'!B:D,3,0),"")</f>
        <v>Nhóm TTB mạng</v>
      </c>
    </row>
    <row r="44" spans="1:12" x14ac:dyDescent="0.25">
      <c r="A44" s="3">
        <v>41</v>
      </c>
      <c r="B44" s="3" t="s">
        <v>563</v>
      </c>
      <c r="C44" s="37" t="s">
        <v>564</v>
      </c>
      <c r="D44" s="12">
        <v>46141</v>
      </c>
      <c r="E44" s="12">
        <v>46506</v>
      </c>
      <c r="F44" s="12" t="s">
        <v>469</v>
      </c>
      <c r="G44" s="12" t="s">
        <v>470</v>
      </c>
      <c r="H44" s="27" t="s">
        <v>371</v>
      </c>
      <c r="I44" s="28"/>
      <c r="J44" s="26" t="str">
        <f>IFERROR(VLOOKUP(H44,'DATA QUY ĐỔI BH'!A:B,2,0),"")</f>
        <v>BHXDA037</v>
      </c>
      <c r="K44" s="33" t="str">
        <f>IFERROR(VLOOKUP(J44,'DATA QUY ĐỔI BH'!B:C,2,0),"")</f>
        <v>Nhóm thi công cơ điện</v>
      </c>
      <c r="L44" s="33" t="str">
        <f>IFERROR(VLOOKUP(J44,'DATA QUY ĐỔI BH'!B:D,3,0),"")</f>
        <v>Nhóm TTB điện</v>
      </c>
    </row>
    <row r="45" spans="1:12" x14ac:dyDescent="0.25">
      <c r="A45" s="3">
        <v>42</v>
      </c>
      <c r="B45" s="3" t="s">
        <v>563</v>
      </c>
      <c r="C45" s="37" t="s">
        <v>564</v>
      </c>
      <c r="D45" s="12">
        <v>46141</v>
      </c>
      <c r="E45" s="12">
        <v>46506</v>
      </c>
      <c r="F45" s="12" t="s">
        <v>469</v>
      </c>
      <c r="G45" s="12" t="s">
        <v>470</v>
      </c>
      <c r="H45" s="27" t="s">
        <v>372</v>
      </c>
      <c r="I45" s="28"/>
      <c r="J45" s="26" t="str">
        <f>IFERROR(VLOOKUP(H45,'DATA QUY ĐỔI BH'!A:B,2,0),"")</f>
        <v>BHXDA038</v>
      </c>
      <c r="K45" s="33" t="str">
        <f>IFERROR(VLOOKUP(J45,'DATA QUY ĐỔI BH'!B:C,2,0),"")</f>
        <v>Nhóm thi công cơ điện</v>
      </c>
      <c r="L45" s="33" t="str">
        <f>IFERROR(VLOOKUP(J45,'DATA QUY ĐỔI BH'!B:D,3,0),"")</f>
        <v>Nhóm TTB điện</v>
      </c>
    </row>
    <row r="46" spans="1:12" x14ac:dyDescent="0.25">
      <c r="A46" s="3">
        <v>43</v>
      </c>
      <c r="B46" s="3" t="s">
        <v>563</v>
      </c>
      <c r="C46" s="37" t="s">
        <v>564</v>
      </c>
      <c r="D46" s="12">
        <v>46141</v>
      </c>
      <c r="E46" s="12">
        <v>46506</v>
      </c>
      <c r="F46" s="12" t="s">
        <v>469</v>
      </c>
      <c r="G46" s="12" t="s">
        <v>470</v>
      </c>
      <c r="H46" s="27" t="s">
        <v>373</v>
      </c>
      <c r="I46" s="28"/>
      <c r="J46" s="26" t="str">
        <f>IFERROR(VLOOKUP(H46,'DATA QUY ĐỔI BH'!A:B,2,0),"")</f>
        <v>BHXDA039</v>
      </c>
      <c r="K46" s="33" t="str">
        <f>IFERROR(VLOOKUP(J46,'DATA QUY ĐỔI BH'!B:C,2,0),"")</f>
        <v>Nhóm thi công cơ điện</v>
      </c>
      <c r="L46" s="33" t="str">
        <f>IFERROR(VLOOKUP(J46,'DATA QUY ĐỔI BH'!B:D,3,0),"")</f>
        <v>Nhóm TTB điện</v>
      </c>
    </row>
    <row r="47" spans="1:12" x14ac:dyDescent="0.25">
      <c r="A47" s="3">
        <v>44</v>
      </c>
      <c r="B47" s="3" t="s">
        <v>563</v>
      </c>
      <c r="C47" s="37" t="s">
        <v>564</v>
      </c>
      <c r="D47" s="12">
        <v>46141</v>
      </c>
      <c r="E47" s="12">
        <v>46506</v>
      </c>
      <c r="F47" s="12" t="s">
        <v>469</v>
      </c>
      <c r="G47" s="12" t="s">
        <v>470</v>
      </c>
      <c r="H47" s="27" t="s">
        <v>374</v>
      </c>
      <c r="I47" s="28"/>
      <c r="J47" s="26" t="str">
        <f>IFERROR(VLOOKUP(H47,'DATA QUY ĐỔI BH'!A:B,2,0),"")</f>
        <v>BHXDA040</v>
      </c>
      <c r="K47" s="33" t="str">
        <f>IFERROR(VLOOKUP(J47,'DATA QUY ĐỔI BH'!B:C,2,0),"")</f>
        <v>Nhóm thi công cơ điện</v>
      </c>
      <c r="L47" s="33" t="str">
        <f>IFERROR(VLOOKUP(J47,'DATA QUY ĐỔI BH'!B:D,3,0),"")</f>
        <v>Nhóm TTB điện</v>
      </c>
    </row>
    <row r="48" spans="1:12" x14ac:dyDescent="0.25">
      <c r="A48" s="3">
        <v>45</v>
      </c>
      <c r="B48" s="3" t="s">
        <v>563</v>
      </c>
      <c r="C48" s="37" t="s">
        <v>564</v>
      </c>
      <c r="D48" s="12">
        <v>46141</v>
      </c>
      <c r="E48" s="12">
        <v>46506</v>
      </c>
      <c r="F48" s="12" t="s">
        <v>469</v>
      </c>
      <c r="G48" s="12" t="s">
        <v>470</v>
      </c>
      <c r="H48" s="27" t="s">
        <v>545</v>
      </c>
      <c r="I48" s="28"/>
      <c r="J48" s="26" t="str">
        <f>IFERROR(VLOOKUP(H48,'DATA QUY ĐỔI BH'!A:B,2,0),"")</f>
        <v>BHXDA041</v>
      </c>
      <c r="K48" s="33" t="str">
        <f>IFERROR(VLOOKUP(J48,'DATA QUY ĐỔI BH'!B:C,2,0),"")</f>
        <v>Nhóm thi công cơ điện</v>
      </c>
      <c r="L48" s="33" t="str">
        <f>IFERROR(VLOOKUP(J48,'DATA QUY ĐỔI BH'!B:D,3,0),"")</f>
        <v>Nhóm TTB điện</v>
      </c>
    </row>
    <row r="49" spans="1:12" x14ac:dyDescent="0.25">
      <c r="A49" s="3">
        <v>46</v>
      </c>
      <c r="B49" s="3" t="s">
        <v>563</v>
      </c>
      <c r="C49" s="37" t="s">
        <v>564</v>
      </c>
      <c r="D49" s="12">
        <v>46141</v>
      </c>
      <c r="E49" s="12">
        <v>46506</v>
      </c>
      <c r="F49" s="12" t="s">
        <v>469</v>
      </c>
      <c r="G49" s="12" t="s">
        <v>470</v>
      </c>
      <c r="H49" s="27" t="s">
        <v>544</v>
      </c>
      <c r="I49" s="28"/>
      <c r="J49" s="26" t="str">
        <f>IFERROR(VLOOKUP(H49,'DATA QUY ĐỔI BH'!A:B,2,0),"")</f>
        <v>BHXDA042</v>
      </c>
      <c r="K49" s="33" t="str">
        <f>IFERROR(VLOOKUP(J49,'DATA QUY ĐỔI BH'!B:C,2,0),"")</f>
        <v>Nhóm thi công cơ điện</v>
      </c>
      <c r="L49" s="33" t="str">
        <f>IFERROR(VLOOKUP(J49,'DATA QUY ĐỔI BH'!B:D,3,0),"")</f>
        <v>Nhóm TTB điện</v>
      </c>
    </row>
    <row r="50" spans="1:12" x14ac:dyDescent="0.25">
      <c r="A50" s="3">
        <v>47</v>
      </c>
      <c r="B50" s="3" t="s">
        <v>563</v>
      </c>
      <c r="C50" s="37" t="s">
        <v>564</v>
      </c>
      <c r="D50" s="12">
        <v>46141</v>
      </c>
      <c r="E50" s="12">
        <v>46506</v>
      </c>
      <c r="F50" s="12" t="s">
        <v>469</v>
      </c>
      <c r="G50" s="12" t="s">
        <v>470</v>
      </c>
      <c r="H50" s="27" t="s">
        <v>376</v>
      </c>
      <c r="I50" s="28"/>
      <c r="J50" s="26" t="str">
        <f>IFERROR(VLOOKUP(H50,'DATA QUY ĐỔI BH'!A:B,2,0),"")</f>
        <v>BHXDA043</v>
      </c>
      <c r="K50" s="33" t="str">
        <f>IFERROR(VLOOKUP(J50,'DATA QUY ĐỔI BH'!B:C,2,0),"")</f>
        <v>Nhóm thi công cơ điện</v>
      </c>
      <c r="L50" s="33" t="str">
        <f>IFERROR(VLOOKUP(J50,'DATA QUY ĐỔI BH'!B:D,3,0),"")</f>
        <v>Nhóm TTB điện</v>
      </c>
    </row>
    <row r="51" spans="1:12" x14ac:dyDescent="0.25">
      <c r="A51" s="3">
        <v>48</v>
      </c>
      <c r="B51" s="3" t="s">
        <v>563</v>
      </c>
      <c r="C51" s="37" t="s">
        <v>564</v>
      </c>
      <c r="D51" s="12">
        <v>46141</v>
      </c>
      <c r="E51" s="12">
        <v>46506</v>
      </c>
      <c r="F51" s="12" t="s">
        <v>469</v>
      </c>
      <c r="G51" s="12" t="s">
        <v>470</v>
      </c>
      <c r="H51" s="27" t="s">
        <v>377</v>
      </c>
      <c r="I51" s="28"/>
      <c r="J51" s="26" t="str">
        <f>IFERROR(VLOOKUP(H51,'DATA QUY ĐỔI BH'!A:B,2,0),"")</f>
        <v>BHXDA044</v>
      </c>
      <c r="K51" s="33" t="str">
        <f>IFERROR(VLOOKUP(J51,'DATA QUY ĐỔI BH'!B:C,2,0),"")</f>
        <v>Nhóm thi công cơ điện</v>
      </c>
      <c r="L51" s="33" t="str">
        <f>IFERROR(VLOOKUP(J51,'DATA QUY ĐỔI BH'!B:D,3,0),"")</f>
        <v>Nhóm TTB điện</v>
      </c>
    </row>
    <row r="52" spans="1:12" x14ac:dyDescent="0.25">
      <c r="A52" s="3">
        <v>49</v>
      </c>
      <c r="B52" s="3" t="s">
        <v>563</v>
      </c>
      <c r="C52" s="37" t="s">
        <v>564</v>
      </c>
      <c r="D52" s="12">
        <v>46141</v>
      </c>
      <c r="E52" s="12">
        <v>46506</v>
      </c>
      <c r="F52" s="12" t="s">
        <v>469</v>
      </c>
      <c r="G52" s="12" t="s">
        <v>470</v>
      </c>
      <c r="H52" s="27" t="s">
        <v>378</v>
      </c>
      <c r="I52" s="28"/>
      <c r="J52" s="26" t="str">
        <f>IFERROR(VLOOKUP(H52,'DATA QUY ĐỔI BH'!A:B,2,0),"")</f>
        <v>BHXDA045</v>
      </c>
      <c r="K52" s="33" t="str">
        <f>IFERROR(VLOOKUP(J52,'DATA QUY ĐỔI BH'!B:C,2,0),"")</f>
        <v>Nhóm thi công cơ điện</v>
      </c>
      <c r="L52" s="33" t="str">
        <f>IFERROR(VLOOKUP(J52,'DATA QUY ĐỔI BH'!B:D,3,0),"")</f>
        <v>Nhóm thi công ĐHKK</v>
      </c>
    </row>
    <row r="53" spans="1:12" x14ac:dyDescent="0.25">
      <c r="A53" s="3">
        <v>50</v>
      </c>
      <c r="B53" s="3" t="s">
        <v>563</v>
      </c>
      <c r="C53" s="37" t="s">
        <v>564</v>
      </c>
      <c r="D53" s="12">
        <v>46141</v>
      </c>
      <c r="E53" s="12">
        <v>46506</v>
      </c>
      <c r="F53" s="12" t="s">
        <v>469</v>
      </c>
      <c r="G53" s="12" t="s">
        <v>470</v>
      </c>
      <c r="H53" s="27" t="s">
        <v>379</v>
      </c>
      <c r="I53" s="28"/>
      <c r="J53" s="26" t="str">
        <f>IFERROR(VLOOKUP(H53,'DATA QUY ĐỔI BH'!A:B,2,0),"")</f>
        <v>BHXDA046</v>
      </c>
      <c r="K53" s="33" t="str">
        <f>IFERROR(VLOOKUP(J53,'DATA QUY ĐỔI BH'!B:C,2,0),"")</f>
        <v>Nhóm thi công cơ điện</v>
      </c>
      <c r="L53" s="33" t="str">
        <f>IFERROR(VLOOKUP(J53,'DATA QUY ĐỔI BH'!B:D,3,0),"")</f>
        <v>Nhóm TTB ĐHKK</v>
      </c>
    </row>
    <row r="54" spans="1:12" x14ac:dyDescent="0.25">
      <c r="A54" s="3">
        <v>51</v>
      </c>
      <c r="B54" s="3" t="s">
        <v>563</v>
      </c>
      <c r="C54" s="37" t="s">
        <v>564</v>
      </c>
      <c r="D54" s="12">
        <v>46141</v>
      </c>
      <c r="E54" s="12">
        <v>46506</v>
      </c>
      <c r="F54" s="12" t="s">
        <v>469</v>
      </c>
      <c r="G54" s="12" t="s">
        <v>470</v>
      </c>
      <c r="H54" s="27" t="s">
        <v>384</v>
      </c>
      <c r="I54" s="28"/>
      <c r="J54" s="26" t="str">
        <f>IFERROR(VLOOKUP(H54,'DATA QUY ĐỔI BH'!A:B,2,0),"")</f>
        <v>BHXDA047</v>
      </c>
      <c r="K54" s="33" t="str">
        <f>IFERROR(VLOOKUP(J54,'DATA QUY ĐỔI BH'!B:C,2,0),"")</f>
        <v>Nhóm thi công cơ điện</v>
      </c>
      <c r="L54" s="33" t="str">
        <f>IFERROR(VLOOKUP(J54,'DATA QUY ĐỔI BH'!B:D,3,0),"")</f>
        <v>Nhóm TTB điện</v>
      </c>
    </row>
    <row r="55" spans="1:12" x14ac:dyDescent="0.25">
      <c r="A55" s="3">
        <v>52</v>
      </c>
      <c r="B55" s="3" t="s">
        <v>563</v>
      </c>
      <c r="C55" s="37" t="s">
        <v>564</v>
      </c>
      <c r="D55" s="12">
        <v>46141</v>
      </c>
      <c r="E55" s="12">
        <v>46506</v>
      </c>
      <c r="F55" s="12" t="s">
        <v>469</v>
      </c>
      <c r="G55" s="12" t="s">
        <v>470</v>
      </c>
      <c r="H55" s="27" t="s">
        <v>375</v>
      </c>
      <c r="I55" s="28"/>
      <c r="J55" s="26" t="str">
        <f>IFERROR(VLOOKUP(H55,'DATA QUY ĐỔI BH'!A:B,2,0),"")</f>
        <v>BHXDA048</v>
      </c>
      <c r="K55" s="33" t="str">
        <f>IFERROR(VLOOKUP(J55,'DATA QUY ĐỔI BH'!B:C,2,0),"")</f>
        <v>Nhóm thi công cơ điện</v>
      </c>
      <c r="L55" s="33" t="str">
        <f>IFERROR(VLOOKUP(J55,'DATA QUY ĐỔI BH'!B:D,3,0),"")</f>
        <v>Nhóm TTB nước</v>
      </c>
    </row>
    <row r="56" spans="1:12" x14ac:dyDescent="0.25">
      <c r="A56" s="3">
        <v>53</v>
      </c>
      <c r="B56" s="3" t="s">
        <v>563</v>
      </c>
      <c r="C56" s="37" t="s">
        <v>564</v>
      </c>
      <c r="D56" s="12">
        <v>46141</v>
      </c>
      <c r="E56" s="12">
        <v>46506</v>
      </c>
      <c r="F56" s="12" t="s">
        <v>469</v>
      </c>
      <c r="G56" s="12" t="s">
        <v>470</v>
      </c>
      <c r="H56" s="27" t="s">
        <v>403</v>
      </c>
      <c r="I56" s="28"/>
      <c r="J56" s="26" t="str">
        <f>IFERROR(VLOOKUP(H56,'DATA QUY ĐỔI BH'!A:B,2,0),"")</f>
        <v>BHXDA049</v>
      </c>
      <c r="K56" s="33" t="str">
        <f>IFERROR(VLOOKUP(J56,'DATA QUY ĐỔI BH'!B:C,2,0),"")</f>
        <v>Nhóm thi công cơ điện</v>
      </c>
      <c r="L56" s="33" t="str">
        <f>IFERROR(VLOOKUP(J56,'DATA QUY ĐỔI BH'!B:D,3,0),"")</f>
        <v>Nhóm TTB nước</v>
      </c>
    </row>
    <row r="57" spans="1:12" x14ac:dyDescent="0.25">
      <c r="A57" s="3">
        <v>54</v>
      </c>
      <c r="B57" s="3" t="s">
        <v>563</v>
      </c>
      <c r="C57" s="37" t="s">
        <v>564</v>
      </c>
      <c r="D57" s="12">
        <v>46141</v>
      </c>
      <c r="E57" s="12">
        <v>46506</v>
      </c>
      <c r="F57" s="12" t="s">
        <v>469</v>
      </c>
      <c r="G57" s="12" t="s">
        <v>470</v>
      </c>
      <c r="H57" s="27" t="s">
        <v>380</v>
      </c>
      <c r="I57" s="28"/>
      <c r="J57" s="26" t="str">
        <f>IFERROR(VLOOKUP(H57,'DATA QUY ĐỔI BH'!A:B,2,0),"")</f>
        <v>BHXDA050</v>
      </c>
      <c r="K57" s="33" t="str">
        <f>IFERROR(VLOOKUP(J57,'DATA QUY ĐỔI BH'!B:C,2,0),"")</f>
        <v>Nhóm thi công cơ điện</v>
      </c>
      <c r="L57" s="33" t="str">
        <f>IFERROR(VLOOKUP(J57,'DATA QUY ĐỔI BH'!B:D,3,0),"")</f>
        <v>Nhóm TTB nước</v>
      </c>
    </row>
    <row r="58" spans="1:12" x14ac:dyDescent="0.25">
      <c r="A58" s="3">
        <v>55</v>
      </c>
      <c r="B58" s="3" t="s">
        <v>563</v>
      </c>
      <c r="C58" s="37" t="s">
        <v>564</v>
      </c>
      <c r="D58" s="12">
        <v>46141</v>
      </c>
      <c r="E58" s="12">
        <v>46506</v>
      </c>
      <c r="F58" s="12" t="s">
        <v>469</v>
      </c>
      <c r="G58" s="12" t="s">
        <v>470</v>
      </c>
      <c r="H58" s="27" t="s">
        <v>381</v>
      </c>
      <c r="I58" s="28"/>
      <c r="J58" s="26" t="str">
        <f>IFERROR(VLOOKUP(H58,'DATA QUY ĐỔI BH'!A:B,2,0),"")</f>
        <v>BHXDA051</v>
      </c>
      <c r="K58" s="33" t="str">
        <f>IFERROR(VLOOKUP(J58,'DATA QUY ĐỔI BH'!B:C,2,0),"")</f>
        <v>Nhóm thi công cơ điện</v>
      </c>
      <c r="L58" s="33" t="str">
        <f>IFERROR(VLOOKUP(J58,'DATA QUY ĐỔI BH'!B:D,3,0),"")</f>
        <v>Nhóm TTB nước</v>
      </c>
    </row>
    <row r="59" spans="1:12" x14ac:dyDescent="0.25">
      <c r="A59" s="3">
        <v>56</v>
      </c>
      <c r="B59" s="3" t="s">
        <v>563</v>
      </c>
      <c r="C59" s="37" t="s">
        <v>564</v>
      </c>
      <c r="D59" s="12">
        <v>46141</v>
      </c>
      <c r="E59" s="12">
        <v>46506</v>
      </c>
      <c r="F59" s="12" t="s">
        <v>469</v>
      </c>
      <c r="G59" s="12" t="s">
        <v>470</v>
      </c>
      <c r="H59" s="27" t="s">
        <v>382</v>
      </c>
      <c r="I59" s="28"/>
      <c r="J59" s="26" t="str">
        <f>IFERROR(VLOOKUP(H59,'DATA QUY ĐỔI BH'!A:B,2,0),"")</f>
        <v>BHXDA052</v>
      </c>
      <c r="K59" s="33" t="str">
        <f>IFERROR(VLOOKUP(J59,'DATA QUY ĐỔI BH'!B:C,2,0),"")</f>
        <v>Nhóm thi công cơ điện</v>
      </c>
      <c r="L59" s="33" t="str">
        <f>IFERROR(VLOOKUP(J59,'DATA QUY ĐỔI BH'!B:D,3,0),"")</f>
        <v>Nhóm thi công giếng khoan</v>
      </c>
    </row>
    <row r="60" spans="1:12" x14ac:dyDescent="0.25">
      <c r="A60" s="3">
        <v>57</v>
      </c>
      <c r="B60" s="3" t="s">
        <v>563</v>
      </c>
      <c r="C60" s="37" t="s">
        <v>564</v>
      </c>
      <c r="D60" s="12">
        <v>46141</v>
      </c>
      <c r="E60" s="12">
        <v>46506</v>
      </c>
      <c r="F60" s="12" t="s">
        <v>469</v>
      </c>
      <c r="G60" s="12" t="s">
        <v>470</v>
      </c>
      <c r="H60" s="27" t="s">
        <v>383</v>
      </c>
      <c r="I60" s="28"/>
      <c r="J60" s="26" t="str">
        <f>IFERROR(VLOOKUP(H60,'DATA QUY ĐỔI BH'!A:B,2,0),"")</f>
        <v>BHXDA053</v>
      </c>
      <c r="K60" s="33" t="str">
        <f>IFERROR(VLOOKUP(J60,'DATA QUY ĐỔI BH'!B:C,2,0),"")</f>
        <v>Nhóm thi công cơ điện</v>
      </c>
      <c r="L60" s="33" t="str">
        <f>IFERROR(VLOOKUP(J60,'DATA QUY ĐỔI BH'!B:D,3,0),"")</f>
        <v>Nhóm TTB nước</v>
      </c>
    </row>
    <row r="61" spans="1:12" x14ac:dyDescent="0.25">
      <c r="A61" s="3">
        <v>58</v>
      </c>
      <c r="B61" s="3" t="s">
        <v>563</v>
      </c>
      <c r="C61" s="37" t="s">
        <v>564</v>
      </c>
      <c r="D61" s="12">
        <v>46141</v>
      </c>
      <c r="E61" s="12">
        <v>46506</v>
      </c>
      <c r="F61" s="12" t="s">
        <v>469</v>
      </c>
      <c r="G61" s="12" t="s">
        <v>470</v>
      </c>
      <c r="H61" s="27" t="s">
        <v>385</v>
      </c>
      <c r="I61" s="28"/>
      <c r="J61" s="26" t="str">
        <f>IFERROR(VLOOKUP(H61,'DATA QUY ĐỔI BH'!A:B,2,0),"")</f>
        <v>BHXDA054</v>
      </c>
      <c r="K61" s="33" t="str">
        <f>IFERROR(VLOOKUP(J61,'DATA QUY ĐỔI BH'!B:C,2,0),"")</f>
        <v>Nhóm thi công cơ điện</v>
      </c>
      <c r="L61" s="33" t="str">
        <f>IFERROR(VLOOKUP(J61,'DATA QUY ĐỔI BH'!B:D,3,0),"")</f>
        <v>Nhóm TTB nước</v>
      </c>
    </row>
    <row r="62" spans="1:12" x14ac:dyDescent="0.25">
      <c r="A62" s="3">
        <v>59</v>
      </c>
      <c r="B62" s="3" t="s">
        <v>563</v>
      </c>
      <c r="C62" s="37" t="s">
        <v>564</v>
      </c>
      <c r="D62" s="12">
        <v>46141</v>
      </c>
      <c r="E62" s="12">
        <v>46506</v>
      </c>
      <c r="F62" s="12" t="s">
        <v>469</v>
      </c>
      <c r="G62" s="12" t="s">
        <v>470</v>
      </c>
      <c r="H62" s="30" t="s">
        <v>387</v>
      </c>
      <c r="I62" s="31"/>
      <c r="J62" s="26" t="str">
        <f>IFERROR(VLOOKUP(H62,'DATA QUY ĐỔI BH'!A:B,2,0),"")</f>
        <v>BHXDA055</v>
      </c>
      <c r="K62" s="33" t="str">
        <f>IFERROR(VLOOKUP(J62,'DATA QUY ĐỔI BH'!B:C,2,0),"")</f>
        <v>Nhóm thi công camera</v>
      </c>
      <c r="L62" s="33" t="str">
        <f>IFERROR(VLOOKUP(J62,'DATA QUY ĐỔI BH'!B:D,3,0),"")</f>
        <v>Nhóm TTB camera</v>
      </c>
    </row>
    <row r="63" spans="1:12" x14ac:dyDescent="0.25">
      <c r="A63" s="3">
        <v>60</v>
      </c>
      <c r="B63" s="3" t="s">
        <v>563</v>
      </c>
      <c r="C63" s="37" t="s">
        <v>564</v>
      </c>
      <c r="D63" s="12">
        <v>46141</v>
      </c>
      <c r="E63" s="12">
        <v>46506</v>
      </c>
      <c r="F63" s="12" t="s">
        <v>469</v>
      </c>
      <c r="G63" s="12" t="s">
        <v>470</v>
      </c>
      <c r="H63" s="30" t="s">
        <v>388</v>
      </c>
      <c r="I63" s="31"/>
      <c r="J63" s="26" t="str">
        <f>IFERROR(VLOOKUP(H63,'DATA QUY ĐỔI BH'!A:B,2,0),"")</f>
        <v>BHXDA056</v>
      </c>
      <c r="K63" s="33" t="str">
        <f>IFERROR(VLOOKUP(J63,'DATA QUY ĐỔI BH'!B:C,2,0),"")</f>
        <v>Nhóm thi công camera</v>
      </c>
      <c r="L63" s="33" t="str">
        <f>IFERROR(VLOOKUP(J63,'DATA QUY ĐỔI BH'!B:D,3,0),"")</f>
        <v>Nhóm TTB camera</v>
      </c>
    </row>
    <row r="64" spans="1:12" x14ac:dyDescent="0.25">
      <c r="A64" s="3">
        <v>61</v>
      </c>
      <c r="B64" s="3" t="s">
        <v>563</v>
      </c>
      <c r="C64" s="37" t="s">
        <v>564</v>
      </c>
      <c r="D64" s="12">
        <v>46141</v>
      </c>
      <c r="E64" s="12">
        <v>46506</v>
      </c>
      <c r="F64" s="12" t="s">
        <v>469</v>
      </c>
      <c r="G64" s="12" t="s">
        <v>470</v>
      </c>
      <c r="H64" s="30" t="s">
        <v>386</v>
      </c>
      <c r="I64" s="31"/>
      <c r="J64" s="26" t="str">
        <f>IFERROR(VLOOKUP(H64,'DATA QUY ĐỔI BH'!A:B,2,0),"")</f>
        <v>BHXDA057</v>
      </c>
      <c r="K64" s="33" t="str">
        <f>IFERROR(VLOOKUP(J64,'DATA QUY ĐỔI BH'!B:C,2,0),"")</f>
        <v>Nhóm thi công camera</v>
      </c>
      <c r="L64" s="33" t="str">
        <f>IFERROR(VLOOKUP(J64,'DATA QUY ĐỔI BH'!B:D,3,0),"")</f>
        <v>Nhóm TTB camera</v>
      </c>
    </row>
    <row r="65" spans="1:12" x14ac:dyDescent="0.25">
      <c r="A65" s="3">
        <v>62</v>
      </c>
      <c r="B65" s="3" t="s">
        <v>563</v>
      </c>
      <c r="C65" s="37" t="s">
        <v>564</v>
      </c>
      <c r="D65" s="12">
        <v>46141</v>
      </c>
      <c r="E65" s="12">
        <v>46506</v>
      </c>
      <c r="F65" s="12" t="s">
        <v>469</v>
      </c>
      <c r="G65" s="12" t="s">
        <v>470</v>
      </c>
      <c r="H65" s="30" t="s">
        <v>389</v>
      </c>
      <c r="I65" s="31"/>
      <c r="J65" s="26" t="str">
        <f>IFERROR(VLOOKUP(H65,'DATA QUY ĐỔI BH'!A:B,2,0),"")</f>
        <v>BHXDA058</v>
      </c>
      <c r="K65" s="33" t="str">
        <f>IFERROR(VLOOKUP(J65,'DATA QUY ĐỔI BH'!B:C,2,0),"")</f>
        <v>Nhóm thi công camera</v>
      </c>
      <c r="L65" s="33" t="str">
        <f>IFERROR(VLOOKUP(J65,'DATA QUY ĐỔI BH'!B:D,3,0),"")</f>
        <v>Nhóm TTB camera</v>
      </c>
    </row>
    <row r="66" spans="1:12" x14ac:dyDescent="0.25">
      <c r="A66" s="3">
        <v>63</v>
      </c>
      <c r="B66" s="3" t="s">
        <v>563</v>
      </c>
      <c r="C66" s="37" t="s">
        <v>564</v>
      </c>
      <c r="D66" s="12">
        <v>46141</v>
      </c>
      <c r="E66" s="12">
        <v>46506</v>
      </c>
      <c r="F66" s="12" t="s">
        <v>469</v>
      </c>
      <c r="G66" s="12" t="s">
        <v>470</v>
      </c>
      <c r="H66" s="30" t="s">
        <v>390</v>
      </c>
      <c r="I66" s="31"/>
      <c r="J66" s="26" t="str">
        <f>IFERROR(VLOOKUP(H66,'DATA QUY ĐỔI BH'!A:B,2,0),"")</f>
        <v>BHXDA059</v>
      </c>
      <c r="K66" s="33" t="str">
        <f>IFERROR(VLOOKUP(J66,'DATA QUY ĐỔI BH'!B:C,2,0),"")</f>
        <v>Nhóm thi công camera</v>
      </c>
      <c r="L66" s="33" t="str">
        <f>IFERROR(VLOOKUP(J66,'DATA QUY ĐỔI BH'!B:D,3,0),"")</f>
        <v>Nhóm TTB camera</v>
      </c>
    </row>
    <row r="67" spans="1:12" x14ac:dyDescent="0.25">
      <c r="B67" s="3"/>
    </row>
    <row r="68" spans="1:12" x14ac:dyDescent="0.25">
      <c r="B68" s="3"/>
    </row>
    <row r="69" spans="1:12" x14ac:dyDescent="0.25">
      <c r="B69" s="3"/>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0F09-8E3C-420C-88C2-51F6DD435490}">
  <sheetPr>
    <tabColor rgb="FFFF0000"/>
  </sheetPr>
  <dimension ref="A1:F71"/>
  <sheetViews>
    <sheetView zoomScale="70" zoomScaleNormal="70" workbookViewId="0">
      <selection activeCell="E79" sqref="E79"/>
    </sheetView>
  </sheetViews>
  <sheetFormatPr defaultRowHeight="15" x14ac:dyDescent="0.25"/>
  <cols>
    <col min="1" max="1" width="49.5703125" style="21" customWidth="1"/>
    <col min="2" max="2" width="12.7109375" customWidth="1"/>
    <col min="3" max="3" width="23.42578125" customWidth="1"/>
    <col min="4" max="4" width="22.85546875" customWidth="1"/>
    <col min="5" max="5" width="36.28515625" customWidth="1"/>
    <col min="6" max="6" width="13.85546875" customWidth="1"/>
  </cols>
  <sheetData>
    <row r="1" spans="1:6" ht="18.75" x14ac:dyDescent="0.25">
      <c r="A1" s="39"/>
      <c r="B1" s="39" t="s">
        <v>483</v>
      </c>
      <c r="C1" s="39"/>
      <c r="D1" s="39"/>
      <c r="E1" s="39"/>
      <c r="F1" s="39"/>
    </row>
    <row r="2" spans="1:6" x14ac:dyDescent="0.25">
      <c r="C2" s="5" t="s">
        <v>6</v>
      </c>
      <c r="D2" s="6" t="s">
        <v>6</v>
      </c>
      <c r="E2" s="7" t="s">
        <v>472</v>
      </c>
    </row>
    <row r="3" spans="1:6" ht="33.950000000000003" customHeight="1" x14ac:dyDescent="0.25">
      <c r="A3" s="49" t="s">
        <v>5</v>
      </c>
      <c r="B3" s="52" t="s">
        <v>337</v>
      </c>
      <c r="C3" s="2" t="s">
        <v>332</v>
      </c>
      <c r="D3" s="2" t="s">
        <v>7</v>
      </c>
      <c r="E3" s="40" t="s">
        <v>486</v>
      </c>
      <c r="F3" s="41" t="s">
        <v>471</v>
      </c>
    </row>
    <row r="4" spans="1:6" x14ac:dyDescent="0.25">
      <c r="A4" s="24" t="s">
        <v>340</v>
      </c>
      <c r="B4" s="53" t="s">
        <v>409</v>
      </c>
      <c r="C4" s="33" t="s">
        <v>402</v>
      </c>
      <c r="D4" s="33" t="s">
        <v>391</v>
      </c>
      <c r="E4" s="46" t="s">
        <v>497</v>
      </c>
      <c r="F4" s="26" t="str">
        <f>B4</f>
        <v>BHXDA001</v>
      </c>
    </row>
    <row r="5" spans="1:6" x14ac:dyDescent="0.25">
      <c r="A5" s="24" t="s">
        <v>406</v>
      </c>
      <c r="B5" s="53" t="s">
        <v>409</v>
      </c>
      <c r="C5" s="33" t="s">
        <v>402</v>
      </c>
      <c r="D5" s="33" t="s">
        <v>391</v>
      </c>
      <c r="E5" s="46" t="s">
        <v>497</v>
      </c>
      <c r="F5" s="26" t="str">
        <f t="shared" ref="F5:F6" si="0">B5</f>
        <v>BHXDA001</v>
      </c>
    </row>
    <row r="6" spans="1:6" x14ac:dyDescent="0.25">
      <c r="A6" s="24" t="s">
        <v>405</v>
      </c>
      <c r="B6" s="53" t="s">
        <v>410</v>
      </c>
      <c r="C6" s="33" t="s">
        <v>402</v>
      </c>
      <c r="D6" s="33" t="s">
        <v>392</v>
      </c>
      <c r="E6" s="46" t="s">
        <v>499</v>
      </c>
      <c r="F6" s="26" t="str">
        <f t="shared" si="0"/>
        <v>BHXDA002</v>
      </c>
    </row>
    <row r="7" spans="1:6" x14ac:dyDescent="0.25">
      <c r="A7" s="24" t="s">
        <v>341</v>
      </c>
      <c r="B7" s="53" t="s">
        <v>410</v>
      </c>
      <c r="C7" s="33" t="s">
        <v>402</v>
      </c>
      <c r="D7" s="33" t="s">
        <v>392</v>
      </c>
      <c r="E7" s="46" t="s">
        <v>499</v>
      </c>
      <c r="F7" s="26" t="str">
        <f t="shared" ref="F7:F39" si="1">B7</f>
        <v>BHXDA002</v>
      </c>
    </row>
    <row r="8" spans="1:6" x14ac:dyDescent="0.25">
      <c r="A8" s="24" t="s">
        <v>342</v>
      </c>
      <c r="B8" s="53" t="s">
        <v>410</v>
      </c>
      <c r="C8" s="33" t="s">
        <v>402</v>
      </c>
      <c r="D8" s="33" t="s">
        <v>392</v>
      </c>
      <c r="E8" s="46" t="s">
        <v>499</v>
      </c>
      <c r="F8" s="26" t="str">
        <f t="shared" si="1"/>
        <v>BHXDA002</v>
      </c>
    </row>
    <row r="9" spans="1:6" ht="25.5" x14ac:dyDescent="0.25">
      <c r="A9" s="24" t="s">
        <v>343</v>
      </c>
      <c r="B9" s="53" t="s">
        <v>411</v>
      </c>
      <c r="C9" s="33" t="s">
        <v>402</v>
      </c>
      <c r="D9" s="33" t="s">
        <v>395</v>
      </c>
      <c r="E9" s="46" t="s">
        <v>500</v>
      </c>
      <c r="F9" s="26" t="str">
        <f t="shared" si="1"/>
        <v>BHXDA003</v>
      </c>
    </row>
    <row r="10" spans="1:6" x14ac:dyDescent="0.25">
      <c r="A10" s="24" t="s">
        <v>498</v>
      </c>
      <c r="B10" s="53" t="s">
        <v>412</v>
      </c>
      <c r="C10" s="33" t="s">
        <v>402</v>
      </c>
      <c r="D10" s="33" t="s">
        <v>460</v>
      </c>
      <c r="E10" s="46" t="s">
        <v>501</v>
      </c>
      <c r="F10" s="26" t="str">
        <f t="shared" si="1"/>
        <v>BHXDA004</v>
      </c>
    </row>
    <row r="11" spans="1:6" ht="25.5" x14ac:dyDescent="0.25">
      <c r="A11" s="24" t="s">
        <v>344</v>
      </c>
      <c r="B11" s="53" t="s">
        <v>413</v>
      </c>
      <c r="C11" s="33" t="s">
        <v>402</v>
      </c>
      <c r="D11" s="33" t="s">
        <v>395</v>
      </c>
      <c r="E11" s="46" t="s">
        <v>588</v>
      </c>
      <c r="F11" s="26" t="str">
        <f t="shared" si="1"/>
        <v>BHXDA005</v>
      </c>
    </row>
    <row r="12" spans="1:6" ht="25.5" x14ac:dyDescent="0.25">
      <c r="A12" s="24" t="s">
        <v>345</v>
      </c>
      <c r="B12" s="53" t="s">
        <v>413</v>
      </c>
      <c r="C12" s="33" t="s">
        <v>402</v>
      </c>
      <c r="D12" s="33" t="s">
        <v>395</v>
      </c>
      <c r="E12" s="46" t="s">
        <v>588</v>
      </c>
      <c r="F12" s="26" t="str">
        <f t="shared" si="1"/>
        <v>BHXDA005</v>
      </c>
    </row>
    <row r="13" spans="1:6" ht="25.5" x14ac:dyDescent="0.25">
      <c r="A13" s="24" t="s">
        <v>346</v>
      </c>
      <c r="B13" s="53" t="s">
        <v>414</v>
      </c>
      <c r="C13" s="33" t="s">
        <v>402</v>
      </c>
      <c r="D13" s="33" t="s">
        <v>395</v>
      </c>
      <c r="E13" s="46" t="s">
        <v>30</v>
      </c>
      <c r="F13" s="26" t="str">
        <f t="shared" si="1"/>
        <v>BHXDA006</v>
      </c>
    </row>
    <row r="14" spans="1:6" ht="25.5" x14ac:dyDescent="0.25">
      <c r="A14" s="24" t="s">
        <v>347</v>
      </c>
      <c r="B14" s="53" t="s">
        <v>415</v>
      </c>
      <c r="C14" s="33" t="s">
        <v>402</v>
      </c>
      <c r="D14" s="33" t="s">
        <v>395</v>
      </c>
      <c r="E14" s="46" t="s">
        <v>502</v>
      </c>
      <c r="F14" s="26" t="str">
        <f t="shared" si="1"/>
        <v>BHXDA007</v>
      </c>
    </row>
    <row r="15" spans="1:6" ht="25.5" x14ac:dyDescent="0.25">
      <c r="A15" s="24" t="s">
        <v>348</v>
      </c>
      <c r="B15" s="53" t="s">
        <v>416</v>
      </c>
      <c r="C15" s="33" t="s">
        <v>402</v>
      </c>
      <c r="D15" s="33" t="s">
        <v>395</v>
      </c>
      <c r="E15" s="46" t="s">
        <v>503</v>
      </c>
      <c r="F15" s="26" t="str">
        <f t="shared" si="1"/>
        <v>BHXDA008</v>
      </c>
    </row>
    <row r="16" spans="1:6" ht="25.5" x14ac:dyDescent="0.25">
      <c r="A16" s="24" t="s">
        <v>349</v>
      </c>
      <c r="B16" s="53" t="s">
        <v>417</v>
      </c>
      <c r="C16" s="33" t="s">
        <v>402</v>
      </c>
      <c r="D16" s="33" t="s">
        <v>395</v>
      </c>
      <c r="E16" s="46" t="s">
        <v>504</v>
      </c>
      <c r="F16" s="26" t="str">
        <f t="shared" si="1"/>
        <v>BHXDA009</v>
      </c>
    </row>
    <row r="17" spans="1:6" ht="25.5" x14ac:dyDescent="0.25">
      <c r="A17" s="24" t="s">
        <v>350</v>
      </c>
      <c r="B17" s="53" t="s">
        <v>418</v>
      </c>
      <c r="C17" s="33" t="s">
        <v>402</v>
      </c>
      <c r="D17" s="33" t="s">
        <v>395</v>
      </c>
      <c r="E17" s="46" t="s">
        <v>505</v>
      </c>
      <c r="F17" s="26" t="str">
        <f t="shared" si="1"/>
        <v>BHXDA010</v>
      </c>
    </row>
    <row r="18" spans="1:6" ht="25.5" x14ac:dyDescent="0.25">
      <c r="A18" s="24" t="s">
        <v>351</v>
      </c>
      <c r="B18" s="53" t="s">
        <v>419</v>
      </c>
      <c r="C18" s="33" t="s">
        <v>402</v>
      </c>
      <c r="D18" s="33" t="s">
        <v>395</v>
      </c>
      <c r="E18" s="46" t="s">
        <v>407</v>
      </c>
      <c r="F18" s="26" t="str">
        <f t="shared" si="1"/>
        <v>BHXDA011</v>
      </c>
    </row>
    <row r="19" spans="1:6" x14ac:dyDescent="0.25">
      <c r="A19" s="24" t="s">
        <v>352</v>
      </c>
      <c r="B19" s="53" t="s">
        <v>420</v>
      </c>
      <c r="C19" s="33" t="s">
        <v>402</v>
      </c>
      <c r="D19" s="33" t="s">
        <v>396</v>
      </c>
      <c r="E19" s="46" t="s">
        <v>408</v>
      </c>
      <c r="F19" s="26" t="str">
        <f t="shared" si="1"/>
        <v>BHXDA012</v>
      </c>
    </row>
    <row r="20" spans="1:6" x14ac:dyDescent="0.25">
      <c r="A20" s="24" t="s">
        <v>353</v>
      </c>
      <c r="B20" s="53" t="s">
        <v>421</v>
      </c>
      <c r="C20" s="33" t="s">
        <v>402</v>
      </c>
      <c r="D20" s="33" t="s">
        <v>396</v>
      </c>
      <c r="E20" s="46" t="s">
        <v>506</v>
      </c>
      <c r="F20" s="26" t="str">
        <f t="shared" si="1"/>
        <v>BHXDA013</v>
      </c>
    </row>
    <row r="21" spans="1:6" x14ac:dyDescent="0.25">
      <c r="A21" s="24" t="s">
        <v>354</v>
      </c>
      <c r="B21" s="53" t="s">
        <v>422</v>
      </c>
      <c r="C21" s="33" t="s">
        <v>402</v>
      </c>
      <c r="D21" s="33" t="s">
        <v>396</v>
      </c>
      <c r="E21" s="46" t="s">
        <v>507</v>
      </c>
      <c r="F21" s="26" t="str">
        <f t="shared" si="1"/>
        <v>BHXDA014</v>
      </c>
    </row>
    <row r="22" spans="1:6" x14ac:dyDescent="0.25">
      <c r="A22" s="24" t="s">
        <v>355</v>
      </c>
      <c r="B22" s="53" t="s">
        <v>423</v>
      </c>
      <c r="C22" s="33" t="s">
        <v>402</v>
      </c>
      <c r="D22" s="33" t="s">
        <v>396</v>
      </c>
      <c r="E22" s="46" t="s">
        <v>508</v>
      </c>
      <c r="F22" s="26" t="str">
        <f t="shared" si="1"/>
        <v>BHXDA015</v>
      </c>
    </row>
    <row r="23" spans="1:6" x14ac:dyDescent="0.25">
      <c r="A23" s="24" t="s">
        <v>356</v>
      </c>
      <c r="B23" s="53" t="s">
        <v>424</v>
      </c>
      <c r="C23" s="33" t="s">
        <v>402</v>
      </c>
      <c r="D23" s="33" t="s">
        <v>399</v>
      </c>
      <c r="E23" s="46" t="s">
        <v>509</v>
      </c>
      <c r="F23" s="26" t="str">
        <f t="shared" si="1"/>
        <v>BHXDA016</v>
      </c>
    </row>
    <row r="24" spans="1:6" ht="25.5" x14ac:dyDescent="0.25">
      <c r="A24" s="24" t="s">
        <v>357</v>
      </c>
      <c r="B24" s="53" t="s">
        <v>425</v>
      </c>
      <c r="C24" s="33" t="s">
        <v>402</v>
      </c>
      <c r="D24" s="33" t="s">
        <v>458</v>
      </c>
      <c r="E24" s="46" t="s">
        <v>510</v>
      </c>
      <c r="F24" s="26" t="str">
        <f t="shared" si="1"/>
        <v>BHXDA017</v>
      </c>
    </row>
    <row r="25" spans="1:6" x14ac:dyDescent="0.25">
      <c r="A25" s="24" t="s">
        <v>358</v>
      </c>
      <c r="B25" s="53" t="s">
        <v>426</v>
      </c>
      <c r="C25" s="33" t="s">
        <v>402</v>
      </c>
      <c r="D25" s="33" t="s">
        <v>397</v>
      </c>
      <c r="E25" s="46" t="s">
        <v>511</v>
      </c>
      <c r="F25" s="26" t="str">
        <f t="shared" si="1"/>
        <v>BHXDA018</v>
      </c>
    </row>
    <row r="26" spans="1:6" x14ac:dyDescent="0.25">
      <c r="A26" s="24" t="s">
        <v>359</v>
      </c>
      <c r="B26" s="53" t="s">
        <v>427</v>
      </c>
      <c r="C26" s="33" t="s">
        <v>402</v>
      </c>
      <c r="D26" s="33" t="s">
        <v>394</v>
      </c>
      <c r="E26" s="46" t="s">
        <v>512</v>
      </c>
      <c r="F26" s="26" t="str">
        <f t="shared" si="1"/>
        <v>BHXDA019</v>
      </c>
    </row>
    <row r="27" spans="1:6" ht="28.5" customHeight="1" x14ac:dyDescent="0.25">
      <c r="A27" s="24" t="s">
        <v>513</v>
      </c>
      <c r="B27" s="53" t="s">
        <v>428</v>
      </c>
      <c r="C27" s="33" t="s">
        <v>402</v>
      </c>
      <c r="D27" s="33" t="s">
        <v>459</v>
      </c>
      <c r="E27" s="46" t="s">
        <v>514</v>
      </c>
      <c r="F27" s="26" t="str">
        <f t="shared" si="1"/>
        <v>BHXDA020</v>
      </c>
    </row>
    <row r="28" spans="1:6" ht="28.5" customHeight="1" x14ac:dyDescent="0.25">
      <c r="A28" s="24" t="s">
        <v>360</v>
      </c>
      <c r="B28" s="53" t="s">
        <v>429</v>
      </c>
      <c r="C28" s="33" t="s">
        <v>402</v>
      </c>
      <c r="D28" s="33" t="s">
        <v>459</v>
      </c>
      <c r="E28" s="46" t="s">
        <v>515</v>
      </c>
      <c r="F28" s="26" t="str">
        <f t="shared" si="1"/>
        <v>BHXDA021</v>
      </c>
    </row>
    <row r="29" spans="1:6" ht="28.5" customHeight="1" x14ac:dyDescent="0.25">
      <c r="A29" s="24" t="s">
        <v>361</v>
      </c>
      <c r="B29" s="53" t="s">
        <v>430</v>
      </c>
      <c r="C29" s="33" t="s">
        <v>402</v>
      </c>
      <c r="D29" s="33" t="s">
        <v>459</v>
      </c>
      <c r="E29" s="46" t="s">
        <v>516</v>
      </c>
      <c r="F29" s="26" t="str">
        <f t="shared" si="1"/>
        <v>BHXDA022</v>
      </c>
    </row>
    <row r="30" spans="1:6" x14ac:dyDescent="0.25">
      <c r="A30" s="24" t="s">
        <v>362</v>
      </c>
      <c r="B30" s="53" t="s">
        <v>431</v>
      </c>
      <c r="C30" s="33" t="s">
        <v>402</v>
      </c>
      <c r="D30" s="33" t="s">
        <v>398</v>
      </c>
      <c r="E30" s="46" t="s">
        <v>517</v>
      </c>
      <c r="F30" s="26" t="str">
        <f t="shared" si="1"/>
        <v>BHXDA023</v>
      </c>
    </row>
    <row r="31" spans="1:6" x14ac:dyDescent="0.25">
      <c r="A31" s="24" t="s">
        <v>404</v>
      </c>
      <c r="B31" s="53" t="s">
        <v>432</v>
      </c>
      <c r="C31" s="33" t="s">
        <v>402</v>
      </c>
      <c r="D31" s="33" t="s">
        <v>398</v>
      </c>
      <c r="E31" s="46" t="s">
        <v>518</v>
      </c>
      <c r="F31" s="26" t="str">
        <f t="shared" si="1"/>
        <v>BHXDA024</v>
      </c>
    </row>
    <row r="32" spans="1:6" x14ac:dyDescent="0.25">
      <c r="A32" s="24" t="s">
        <v>363</v>
      </c>
      <c r="B32" s="53" t="s">
        <v>433</v>
      </c>
      <c r="C32" s="33" t="s">
        <v>402</v>
      </c>
      <c r="D32" s="33" t="s">
        <v>393</v>
      </c>
      <c r="E32" s="46" t="s">
        <v>587</v>
      </c>
      <c r="F32" s="26" t="str">
        <f t="shared" si="1"/>
        <v>BHXDA025</v>
      </c>
    </row>
    <row r="33" spans="1:6" x14ac:dyDescent="0.25">
      <c r="A33" s="24" t="s">
        <v>364</v>
      </c>
      <c r="B33" s="53" t="s">
        <v>434</v>
      </c>
      <c r="C33" s="33" t="s">
        <v>402</v>
      </c>
      <c r="D33" s="33" t="s">
        <v>394</v>
      </c>
      <c r="E33" s="46" t="s">
        <v>519</v>
      </c>
      <c r="F33" s="26" t="str">
        <f t="shared" si="1"/>
        <v>BHXDA026</v>
      </c>
    </row>
    <row r="34" spans="1:6" x14ac:dyDescent="0.25">
      <c r="A34" s="24" t="s">
        <v>593</v>
      </c>
      <c r="B34" s="53" t="s">
        <v>435</v>
      </c>
      <c r="C34" s="33" t="s">
        <v>402</v>
      </c>
      <c r="D34" s="33" t="s">
        <v>394</v>
      </c>
      <c r="E34" s="46" t="s">
        <v>594</v>
      </c>
      <c r="F34" s="26" t="str">
        <f t="shared" si="1"/>
        <v>BHXDA027</v>
      </c>
    </row>
    <row r="35" spans="1:6" x14ac:dyDescent="0.25">
      <c r="A35" s="24" t="s">
        <v>521</v>
      </c>
      <c r="B35" s="53" t="s">
        <v>436</v>
      </c>
      <c r="C35" s="33" t="s">
        <v>402</v>
      </c>
      <c r="D35" s="33" t="s">
        <v>527</v>
      </c>
      <c r="E35" s="46" t="s">
        <v>523</v>
      </c>
      <c r="F35" s="26" t="str">
        <f t="shared" si="1"/>
        <v>BHXDA028</v>
      </c>
    </row>
    <row r="36" spans="1:6" x14ac:dyDescent="0.25">
      <c r="A36" s="24" t="s">
        <v>522</v>
      </c>
      <c r="B36" s="53" t="s">
        <v>437</v>
      </c>
      <c r="C36" s="33" t="s">
        <v>402</v>
      </c>
      <c r="D36" s="33" t="s">
        <v>527</v>
      </c>
      <c r="E36" s="46" t="s">
        <v>524</v>
      </c>
      <c r="F36" s="26" t="str">
        <f t="shared" si="1"/>
        <v>BHXDA029</v>
      </c>
    </row>
    <row r="37" spans="1:6" x14ac:dyDescent="0.25">
      <c r="A37" s="24" t="s">
        <v>525</v>
      </c>
      <c r="B37" s="53" t="s">
        <v>438</v>
      </c>
      <c r="C37" s="33" t="s">
        <v>402</v>
      </c>
      <c r="D37" s="33" t="s">
        <v>527</v>
      </c>
      <c r="E37" s="46" t="s">
        <v>526</v>
      </c>
      <c r="F37" s="26" t="str">
        <f t="shared" si="1"/>
        <v>BHXDA030</v>
      </c>
    </row>
    <row r="38" spans="1:6" x14ac:dyDescent="0.25">
      <c r="A38" s="27" t="s">
        <v>365</v>
      </c>
      <c r="B38" s="54" t="s">
        <v>439</v>
      </c>
      <c r="C38" s="34" t="s">
        <v>401</v>
      </c>
      <c r="D38" s="34" t="s">
        <v>528</v>
      </c>
      <c r="E38" s="47" t="s">
        <v>520</v>
      </c>
      <c r="F38" s="29" t="str">
        <f t="shared" si="1"/>
        <v>BHXDA031</v>
      </c>
    </row>
    <row r="39" spans="1:6" x14ac:dyDescent="0.25">
      <c r="A39" s="27" t="s">
        <v>366</v>
      </c>
      <c r="B39" s="54" t="s">
        <v>440</v>
      </c>
      <c r="C39" s="34" t="s">
        <v>401</v>
      </c>
      <c r="D39" s="34" t="s">
        <v>529</v>
      </c>
      <c r="E39" s="47" t="s">
        <v>534</v>
      </c>
      <c r="F39" s="29" t="str">
        <f t="shared" si="1"/>
        <v>BHXDA032</v>
      </c>
    </row>
    <row r="40" spans="1:6" x14ac:dyDescent="0.25">
      <c r="A40" s="27" t="s">
        <v>367</v>
      </c>
      <c r="B40" s="54" t="s">
        <v>441</v>
      </c>
      <c r="C40" s="34" t="s">
        <v>401</v>
      </c>
      <c r="D40" s="34" t="s">
        <v>528</v>
      </c>
      <c r="E40" s="47" t="s">
        <v>535</v>
      </c>
      <c r="F40" s="29" t="str">
        <f t="shared" ref="F40:F66" si="2">B40</f>
        <v>BHXDA033</v>
      </c>
    </row>
    <row r="41" spans="1:6" x14ac:dyDescent="0.25">
      <c r="A41" s="27" t="s">
        <v>368</v>
      </c>
      <c r="B41" s="54" t="s">
        <v>442</v>
      </c>
      <c r="C41" s="34" t="s">
        <v>401</v>
      </c>
      <c r="D41" s="34" t="s">
        <v>529</v>
      </c>
      <c r="E41" s="47" t="s">
        <v>536</v>
      </c>
      <c r="F41" s="29" t="str">
        <f t="shared" si="2"/>
        <v>BHXDA034</v>
      </c>
    </row>
    <row r="42" spans="1:6" x14ac:dyDescent="0.25">
      <c r="A42" s="27" t="s">
        <v>369</v>
      </c>
      <c r="B42" s="54" t="s">
        <v>443</v>
      </c>
      <c r="C42" s="34" t="s">
        <v>401</v>
      </c>
      <c r="D42" s="34" t="s">
        <v>528</v>
      </c>
      <c r="E42" s="47" t="s">
        <v>537</v>
      </c>
      <c r="F42" s="29" t="str">
        <f t="shared" si="2"/>
        <v>BHXDA035</v>
      </c>
    </row>
    <row r="43" spans="1:6" x14ac:dyDescent="0.25">
      <c r="A43" s="27" t="s">
        <v>370</v>
      </c>
      <c r="B43" s="54" t="s">
        <v>444</v>
      </c>
      <c r="C43" s="34" t="s">
        <v>401</v>
      </c>
      <c r="D43" s="34" t="s">
        <v>529</v>
      </c>
      <c r="E43" s="47" t="s">
        <v>538</v>
      </c>
      <c r="F43" s="29" t="str">
        <f t="shared" si="2"/>
        <v>BHXDA036</v>
      </c>
    </row>
    <row r="44" spans="1:6" x14ac:dyDescent="0.25">
      <c r="A44" s="27" t="s">
        <v>371</v>
      </c>
      <c r="B44" s="54" t="s">
        <v>445</v>
      </c>
      <c r="C44" s="34" t="s">
        <v>401</v>
      </c>
      <c r="D44" s="34" t="s">
        <v>528</v>
      </c>
      <c r="E44" s="47" t="s">
        <v>539</v>
      </c>
      <c r="F44" s="29" t="str">
        <f t="shared" si="2"/>
        <v>BHXDA037</v>
      </c>
    </row>
    <row r="45" spans="1:6" x14ac:dyDescent="0.25">
      <c r="A45" s="27" t="s">
        <v>372</v>
      </c>
      <c r="B45" s="54" t="s">
        <v>446</v>
      </c>
      <c r="C45" s="34" t="s">
        <v>401</v>
      </c>
      <c r="D45" s="34" t="s">
        <v>528</v>
      </c>
      <c r="E45" s="47" t="s">
        <v>540</v>
      </c>
      <c r="F45" s="29" t="str">
        <f t="shared" si="2"/>
        <v>BHXDA038</v>
      </c>
    </row>
    <row r="46" spans="1:6" x14ac:dyDescent="0.25">
      <c r="A46" s="27" t="s">
        <v>373</v>
      </c>
      <c r="B46" s="54" t="s">
        <v>447</v>
      </c>
      <c r="C46" s="34" t="s">
        <v>401</v>
      </c>
      <c r="D46" s="34" t="s">
        <v>528</v>
      </c>
      <c r="E46" s="47" t="s">
        <v>541</v>
      </c>
      <c r="F46" s="29" t="str">
        <f t="shared" si="2"/>
        <v>BHXDA039</v>
      </c>
    </row>
    <row r="47" spans="1:6" x14ac:dyDescent="0.25">
      <c r="A47" s="27" t="s">
        <v>374</v>
      </c>
      <c r="B47" s="54" t="s">
        <v>448</v>
      </c>
      <c r="C47" s="34" t="s">
        <v>401</v>
      </c>
      <c r="D47" s="34" t="s">
        <v>528</v>
      </c>
      <c r="E47" s="47" t="s">
        <v>542</v>
      </c>
      <c r="F47" s="29" t="str">
        <f t="shared" si="2"/>
        <v>BHXDA040</v>
      </c>
    </row>
    <row r="48" spans="1:6" x14ac:dyDescent="0.25">
      <c r="A48" s="27" t="s">
        <v>545</v>
      </c>
      <c r="B48" s="54" t="s">
        <v>449</v>
      </c>
      <c r="C48" s="34" t="s">
        <v>401</v>
      </c>
      <c r="D48" s="34" t="s">
        <v>528</v>
      </c>
      <c r="E48" s="47" t="s">
        <v>543</v>
      </c>
      <c r="F48" s="29" t="str">
        <f t="shared" si="2"/>
        <v>BHXDA041</v>
      </c>
    </row>
    <row r="49" spans="1:6" x14ac:dyDescent="0.25">
      <c r="A49" s="27" t="s">
        <v>544</v>
      </c>
      <c r="B49" s="54" t="s">
        <v>450</v>
      </c>
      <c r="C49" s="34" t="s">
        <v>401</v>
      </c>
      <c r="D49" s="34" t="s">
        <v>528</v>
      </c>
      <c r="E49" s="47" t="s">
        <v>546</v>
      </c>
      <c r="F49" s="29" t="str">
        <f t="shared" si="2"/>
        <v>BHXDA042</v>
      </c>
    </row>
    <row r="50" spans="1:6" x14ac:dyDescent="0.25">
      <c r="A50" s="27" t="s">
        <v>376</v>
      </c>
      <c r="B50" s="54" t="s">
        <v>451</v>
      </c>
      <c r="C50" s="34" t="s">
        <v>401</v>
      </c>
      <c r="D50" s="34" t="s">
        <v>528</v>
      </c>
      <c r="E50" s="47" t="s">
        <v>547</v>
      </c>
      <c r="F50" s="29" t="str">
        <f t="shared" si="2"/>
        <v>BHXDA043</v>
      </c>
    </row>
    <row r="51" spans="1:6" ht="18.75" customHeight="1" x14ac:dyDescent="0.25">
      <c r="A51" s="27" t="s">
        <v>377</v>
      </c>
      <c r="B51" s="54" t="s">
        <v>452</v>
      </c>
      <c r="C51" s="34" t="s">
        <v>401</v>
      </c>
      <c r="D51" s="34" t="s">
        <v>528</v>
      </c>
      <c r="E51" s="47" t="s">
        <v>548</v>
      </c>
      <c r="F51" s="29" t="str">
        <f t="shared" si="2"/>
        <v>BHXDA044</v>
      </c>
    </row>
    <row r="52" spans="1:6" x14ac:dyDescent="0.25">
      <c r="A52" s="27" t="s">
        <v>378</v>
      </c>
      <c r="B52" s="54" t="s">
        <v>453</v>
      </c>
      <c r="C52" s="34" t="s">
        <v>401</v>
      </c>
      <c r="D52" s="34" t="s">
        <v>571</v>
      </c>
      <c r="E52" s="47" t="s">
        <v>569</v>
      </c>
      <c r="F52" s="29" t="str">
        <f t="shared" si="2"/>
        <v>BHXDA045</v>
      </c>
    </row>
    <row r="53" spans="1:6" x14ac:dyDescent="0.25">
      <c r="A53" s="27" t="s">
        <v>379</v>
      </c>
      <c r="B53" s="54" t="s">
        <v>454</v>
      </c>
      <c r="C53" s="34" t="s">
        <v>401</v>
      </c>
      <c r="D53" s="34" t="s">
        <v>530</v>
      </c>
      <c r="E53" s="47" t="s">
        <v>549</v>
      </c>
      <c r="F53" s="29" t="str">
        <f t="shared" si="2"/>
        <v>BHXDA046</v>
      </c>
    </row>
    <row r="54" spans="1:6" x14ac:dyDescent="0.25">
      <c r="A54" s="27" t="s">
        <v>384</v>
      </c>
      <c r="B54" s="54" t="s">
        <v>455</v>
      </c>
      <c r="C54" s="34" t="s">
        <v>401</v>
      </c>
      <c r="D54" s="34" t="s">
        <v>528</v>
      </c>
      <c r="E54" s="47" t="s">
        <v>550</v>
      </c>
      <c r="F54" s="29" t="str">
        <f t="shared" si="2"/>
        <v>BHXDA047</v>
      </c>
    </row>
    <row r="55" spans="1:6" x14ac:dyDescent="0.25">
      <c r="A55" s="27" t="s">
        <v>375</v>
      </c>
      <c r="B55" s="54" t="s">
        <v>456</v>
      </c>
      <c r="C55" s="34" t="s">
        <v>401</v>
      </c>
      <c r="D55" s="34" t="s">
        <v>531</v>
      </c>
      <c r="E55" s="47" t="s">
        <v>551</v>
      </c>
      <c r="F55" s="29" t="str">
        <f t="shared" si="2"/>
        <v>BHXDA048</v>
      </c>
    </row>
    <row r="56" spans="1:6" x14ac:dyDescent="0.25">
      <c r="A56" s="27" t="s">
        <v>403</v>
      </c>
      <c r="B56" s="54" t="s">
        <v>457</v>
      </c>
      <c r="C56" s="34" t="s">
        <v>401</v>
      </c>
      <c r="D56" s="34" t="s">
        <v>531</v>
      </c>
      <c r="E56" s="47" t="s">
        <v>552</v>
      </c>
      <c r="F56" s="29" t="str">
        <f t="shared" si="2"/>
        <v>BHXDA049</v>
      </c>
    </row>
    <row r="57" spans="1:6" x14ac:dyDescent="0.25">
      <c r="A57" s="27" t="s">
        <v>380</v>
      </c>
      <c r="B57" s="54" t="s">
        <v>487</v>
      </c>
      <c r="C57" s="34" t="s">
        <v>401</v>
      </c>
      <c r="D57" s="34" t="s">
        <v>531</v>
      </c>
      <c r="E57" s="47" t="s">
        <v>553</v>
      </c>
      <c r="F57" s="29" t="str">
        <f t="shared" si="2"/>
        <v>BHXDA050</v>
      </c>
    </row>
    <row r="58" spans="1:6" x14ac:dyDescent="0.25">
      <c r="A58" s="27" t="s">
        <v>381</v>
      </c>
      <c r="B58" s="54" t="s">
        <v>488</v>
      </c>
      <c r="C58" s="34" t="s">
        <v>401</v>
      </c>
      <c r="D58" s="34" t="s">
        <v>531</v>
      </c>
      <c r="E58" s="47" t="s">
        <v>554</v>
      </c>
      <c r="F58" s="29" t="str">
        <f t="shared" si="2"/>
        <v>BHXDA051</v>
      </c>
    </row>
    <row r="59" spans="1:6" x14ac:dyDescent="0.25">
      <c r="A59" s="27" t="s">
        <v>382</v>
      </c>
      <c r="B59" s="54" t="s">
        <v>489</v>
      </c>
      <c r="C59" s="34" t="s">
        <v>401</v>
      </c>
      <c r="D59" s="34" t="s">
        <v>532</v>
      </c>
      <c r="E59" s="47" t="s">
        <v>555</v>
      </c>
      <c r="F59" s="29" t="str">
        <f t="shared" si="2"/>
        <v>BHXDA052</v>
      </c>
    </row>
    <row r="60" spans="1:6" x14ac:dyDescent="0.25">
      <c r="A60" s="27" t="s">
        <v>383</v>
      </c>
      <c r="B60" s="54" t="s">
        <v>490</v>
      </c>
      <c r="C60" s="34" t="s">
        <v>401</v>
      </c>
      <c r="D60" s="34" t="s">
        <v>531</v>
      </c>
      <c r="E60" s="47" t="s">
        <v>556</v>
      </c>
      <c r="F60" s="29" t="str">
        <f t="shared" si="2"/>
        <v>BHXDA053</v>
      </c>
    </row>
    <row r="61" spans="1:6" x14ac:dyDescent="0.25">
      <c r="A61" s="27" t="s">
        <v>385</v>
      </c>
      <c r="B61" s="54" t="s">
        <v>491</v>
      </c>
      <c r="C61" s="34" t="s">
        <v>401</v>
      </c>
      <c r="D61" s="34" t="s">
        <v>531</v>
      </c>
      <c r="E61" s="47" t="s">
        <v>557</v>
      </c>
      <c r="F61" s="29" t="str">
        <f t="shared" si="2"/>
        <v>BHXDA054</v>
      </c>
    </row>
    <row r="62" spans="1:6" x14ac:dyDescent="0.25">
      <c r="A62" s="30" t="s">
        <v>387</v>
      </c>
      <c r="B62" s="55" t="s">
        <v>492</v>
      </c>
      <c r="C62" s="35" t="s">
        <v>400</v>
      </c>
      <c r="D62" s="35" t="s">
        <v>533</v>
      </c>
      <c r="E62" s="48" t="s">
        <v>558</v>
      </c>
      <c r="F62" s="32" t="str">
        <f t="shared" si="2"/>
        <v>BHXDA055</v>
      </c>
    </row>
    <row r="63" spans="1:6" x14ac:dyDescent="0.25">
      <c r="A63" s="30" t="s">
        <v>388</v>
      </c>
      <c r="B63" s="55" t="s">
        <v>493</v>
      </c>
      <c r="C63" s="35" t="s">
        <v>400</v>
      </c>
      <c r="D63" s="35" t="s">
        <v>533</v>
      </c>
      <c r="E63" s="48" t="s">
        <v>559</v>
      </c>
      <c r="F63" s="32" t="str">
        <f t="shared" si="2"/>
        <v>BHXDA056</v>
      </c>
    </row>
    <row r="64" spans="1:6" x14ac:dyDescent="0.25">
      <c r="A64" s="30" t="s">
        <v>386</v>
      </c>
      <c r="B64" s="55" t="s">
        <v>494</v>
      </c>
      <c r="C64" s="35" t="s">
        <v>400</v>
      </c>
      <c r="D64" s="35" t="s">
        <v>533</v>
      </c>
      <c r="E64" s="48" t="s">
        <v>560</v>
      </c>
      <c r="F64" s="32" t="str">
        <f t="shared" si="2"/>
        <v>BHXDA057</v>
      </c>
    </row>
    <row r="65" spans="1:6" x14ac:dyDescent="0.25">
      <c r="A65" s="30" t="s">
        <v>389</v>
      </c>
      <c r="B65" s="55" t="s">
        <v>495</v>
      </c>
      <c r="C65" s="35" t="s">
        <v>400</v>
      </c>
      <c r="D65" s="35" t="s">
        <v>533</v>
      </c>
      <c r="E65" s="48" t="s">
        <v>561</v>
      </c>
      <c r="F65" s="32" t="str">
        <f t="shared" si="2"/>
        <v>BHXDA058</v>
      </c>
    </row>
    <row r="66" spans="1:6" x14ac:dyDescent="0.25">
      <c r="A66" s="30" t="s">
        <v>390</v>
      </c>
      <c r="B66" s="55" t="s">
        <v>496</v>
      </c>
      <c r="C66" s="35" t="s">
        <v>400</v>
      </c>
      <c r="D66" s="35" t="s">
        <v>533</v>
      </c>
      <c r="E66" s="48" t="s">
        <v>562</v>
      </c>
      <c r="F66" s="32" t="str">
        <f t="shared" si="2"/>
        <v>BHXDA059</v>
      </c>
    </row>
    <row r="67" spans="1:6" x14ac:dyDescent="0.25">
      <c r="C67" s="45"/>
      <c r="D67" s="45"/>
    </row>
    <row r="68" spans="1:6" x14ac:dyDescent="0.25">
      <c r="C68" s="45"/>
      <c r="D68" s="45"/>
    </row>
    <row r="69" spans="1:6" x14ac:dyDescent="0.25">
      <c r="C69" s="45"/>
      <c r="D69" s="45"/>
    </row>
    <row r="70" spans="1:6" x14ac:dyDescent="0.25">
      <c r="C70" s="45"/>
      <c r="D70" s="45"/>
    </row>
    <row r="71" spans="1:6" x14ac:dyDescent="0.25">
      <c r="C71" s="45"/>
      <c r="D71" s="45"/>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M152"/>
  <sheetViews>
    <sheetView zoomScale="70" zoomScaleNormal="70" workbookViewId="0">
      <pane ySplit="3" topLeftCell="A4" activePane="bottomLeft" state="frozen"/>
      <selection pane="bottomLeft" activeCell="F38" sqref="F38"/>
    </sheetView>
  </sheetViews>
  <sheetFormatPr defaultRowHeight="15" x14ac:dyDescent="0.25"/>
  <cols>
    <col min="1" max="1" width="4.7109375" customWidth="1"/>
    <col min="2" max="2" width="7.85546875" customWidth="1"/>
    <col min="3" max="3" width="31.42578125" customWidth="1"/>
    <col min="4" max="4" width="11.5703125" customWidth="1"/>
    <col min="5" max="5" width="12.42578125" style="13" customWidth="1"/>
    <col min="6" max="6" width="46.7109375" style="21" customWidth="1"/>
    <col min="7" max="7" width="11.28515625" style="21" customWidth="1"/>
    <col min="8" max="8" width="16" customWidth="1"/>
    <col min="9" max="9" width="40" customWidth="1"/>
    <col min="10" max="10" width="36.28515625" customWidth="1"/>
    <col min="11" max="11" width="35.42578125" customWidth="1"/>
  </cols>
  <sheetData>
    <row r="1" spans="1:13" ht="40.15" customHeight="1" x14ac:dyDescent="0.3">
      <c r="A1" s="61" t="s">
        <v>0</v>
      </c>
      <c r="B1" s="62"/>
      <c r="C1" s="62"/>
      <c r="D1" s="62"/>
      <c r="E1" s="62"/>
      <c r="F1" s="62"/>
      <c r="G1" s="62"/>
      <c r="H1" s="62"/>
      <c r="I1" s="62"/>
      <c r="J1" s="62"/>
      <c r="K1" s="62"/>
    </row>
    <row r="2" spans="1:13" x14ac:dyDescent="0.25">
      <c r="I2" s="5" t="s">
        <v>6</v>
      </c>
      <c r="J2" s="6" t="s">
        <v>6</v>
      </c>
      <c r="K2" s="7" t="s">
        <v>338</v>
      </c>
    </row>
    <row r="3" spans="1:13" s="11" customFormat="1" ht="30" customHeight="1" x14ac:dyDescent="0.25">
      <c r="A3" s="1" t="s">
        <v>1</v>
      </c>
      <c r="B3" s="1" t="s">
        <v>2</v>
      </c>
      <c r="C3" s="1" t="s">
        <v>3</v>
      </c>
      <c r="D3" s="1" t="s">
        <v>4</v>
      </c>
      <c r="E3" s="1" t="s">
        <v>334</v>
      </c>
      <c r="F3" s="20" t="s">
        <v>5</v>
      </c>
      <c r="G3" s="20" t="s">
        <v>339</v>
      </c>
      <c r="H3" s="10" t="s">
        <v>337</v>
      </c>
      <c r="I3" s="2" t="s">
        <v>332</v>
      </c>
      <c r="J3" s="23" t="s">
        <v>7</v>
      </c>
      <c r="K3" s="2" t="s">
        <v>331</v>
      </c>
      <c r="L3" s="2" t="s">
        <v>335</v>
      </c>
      <c r="M3" s="2" t="s">
        <v>336</v>
      </c>
    </row>
    <row r="4" spans="1:13" ht="25.9" customHeight="1" x14ac:dyDescent="0.25">
      <c r="A4" s="3">
        <v>1</v>
      </c>
      <c r="B4" s="3" t="s">
        <v>8</v>
      </c>
      <c r="C4" s="4" t="s">
        <v>9</v>
      </c>
      <c r="D4" s="12">
        <v>46168</v>
      </c>
      <c r="E4" s="14">
        <f>D4+365</f>
        <v>46533</v>
      </c>
      <c r="F4" s="22" t="s">
        <v>10</v>
      </c>
      <c r="G4" s="22"/>
      <c r="H4" s="3" t="s">
        <v>11</v>
      </c>
      <c r="I4" s="4" t="s">
        <v>12</v>
      </c>
      <c r="J4" s="4" t="s">
        <v>13</v>
      </c>
      <c r="K4" s="4" t="s">
        <v>14</v>
      </c>
    </row>
    <row r="5" spans="1:13" ht="25.9" customHeight="1" x14ac:dyDescent="0.25">
      <c r="A5" s="3">
        <v>2</v>
      </c>
      <c r="B5" s="3" t="s">
        <v>8</v>
      </c>
      <c r="C5" s="4" t="s">
        <v>9</v>
      </c>
      <c r="D5" s="12">
        <v>46168</v>
      </c>
      <c r="E5" s="14">
        <f t="shared" ref="E5:E68" si="0">D5+365</f>
        <v>46533</v>
      </c>
      <c r="F5" s="22" t="s">
        <v>15</v>
      </c>
      <c r="G5" s="22"/>
      <c r="H5" s="3" t="s">
        <v>16</v>
      </c>
      <c r="I5" s="4" t="s">
        <v>12</v>
      </c>
      <c r="J5" s="4" t="s">
        <v>13</v>
      </c>
      <c r="K5" s="4" t="s">
        <v>14</v>
      </c>
    </row>
    <row r="6" spans="1:13" ht="25.9" customHeight="1" x14ac:dyDescent="0.25">
      <c r="A6" s="3">
        <v>3</v>
      </c>
      <c r="B6" s="3" t="s">
        <v>8</v>
      </c>
      <c r="C6" s="4" t="s">
        <v>9</v>
      </c>
      <c r="D6" s="12">
        <v>46168</v>
      </c>
      <c r="E6" s="14">
        <f t="shared" si="0"/>
        <v>46533</v>
      </c>
      <c r="F6" s="22" t="s">
        <v>17</v>
      </c>
      <c r="G6" s="22"/>
      <c r="H6" s="3" t="s">
        <v>18</v>
      </c>
      <c r="I6" s="4" t="s">
        <v>12</v>
      </c>
      <c r="J6" s="4" t="s">
        <v>13</v>
      </c>
      <c r="K6" s="4" t="s">
        <v>14</v>
      </c>
    </row>
    <row r="7" spans="1:13" ht="25.9" customHeight="1" x14ac:dyDescent="0.25">
      <c r="A7" s="3">
        <v>4</v>
      </c>
      <c r="B7" s="3" t="s">
        <v>8</v>
      </c>
      <c r="C7" s="4" t="s">
        <v>9</v>
      </c>
      <c r="D7" s="12">
        <v>46168</v>
      </c>
      <c r="E7" s="14">
        <f t="shared" si="0"/>
        <v>46533</v>
      </c>
      <c r="F7" s="22" t="s">
        <v>19</v>
      </c>
      <c r="G7" s="22"/>
      <c r="H7" s="3" t="s">
        <v>20</v>
      </c>
      <c r="I7" s="4" t="s">
        <v>12</v>
      </c>
      <c r="J7" s="4" t="s">
        <v>13</v>
      </c>
      <c r="K7" s="4" t="s">
        <v>14</v>
      </c>
    </row>
    <row r="8" spans="1:13" ht="25.9" customHeight="1" x14ac:dyDescent="0.25">
      <c r="A8" s="3">
        <v>5</v>
      </c>
      <c r="B8" s="3" t="s">
        <v>8</v>
      </c>
      <c r="C8" s="4" t="s">
        <v>9</v>
      </c>
      <c r="D8" s="12">
        <v>46168</v>
      </c>
      <c r="E8" s="14">
        <f t="shared" si="0"/>
        <v>46533</v>
      </c>
      <c r="F8" s="22" t="s">
        <v>21</v>
      </c>
      <c r="G8" s="22"/>
      <c r="H8" s="3" t="s">
        <v>22</v>
      </c>
      <c r="I8" s="4" t="s">
        <v>23</v>
      </c>
      <c r="J8" s="4" t="s">
        <v>24</v>
      </c>
      <c r="K8" s="4" t="s">
        <v>25</v>
      </c>
    </row>
    <row r="9" spans="1:13" ht="25.9" customHeight="1" x14ac:dyDescent="0.25">
      <c r="A9" s="3">
        <v>6</v>
      </c>
      <c r="B9" s="3" t="s">
        <v>8</v>
      </c>
      <c r="C9" s="4" t="s">
        <v>9</v>
      </c>
      <c r="D9" s="12">
        <v>46168</v>
      </c>
      <c r="E9" s="14">
        <f t="shared" si="0"/>
        <v>46533</v>
      </c>
      <c r="F9" s="22" t="s">
        <v>26</v>
      </c>
      <c r="G9" s="22"/>
      <c r="H9" s="3" t="s">
        <v>27</v>
      </c>
      <c r="I9" s="4" t="s">
        <v>28</v>
      </c>
      <c r="J9" s="4" t="s">
        <v>29</v>
      </c>
      <c r="K9" s="4" t="s">
        <v>30</v>
      </c>
    </row>
    <row r="10" spans="1:13" ht="25.9" customHeight="1" x14ac:dyDescent="0.25">
      <c r="A10" s="3">
        <v>7</v>
      </c>
      <c r="B10" s="3" t="s">
        <v>8</v>
      </c>
      <c r="C10" s="4" t="s">
        <v>9</v>
      </c>
      <c r="D10" s="12">
        <v>46168</v>
      </c>
      <c r="E10" s="14">
        <f t="shared" si="0"/>
        <v>46533</v>
      </c>
      <c r="F10" s="22" t="s">
        <v>31</v>
      </c>
      <c r="G10" s="22"/>
      <c r="H10" s="3" t="s">
        <v>32</v>
      </c>
      <c r="I10" s="4" t="s">
        <v>23</v>
      </c>
      <c r="J10" s="4" t="s">
        <v>24</v>
      </c>
      <c r="K10" s="4" t="s">
        <v>25</v>
      </c>
    </row>
    <row r="11" spans="1:13" ht="25.9" customHeight="1" x14ac:dyDescent="0.25">
      <c r="A11" s="3">
        <v>8</v>
      </c>
      <c r="B11" s="3" t="s">
        <v>8</v>
      </c>
      <c r="C11" s="4" t="s">
        <v>9</v>
      </c>
      <c r="D11" s="12">
        <v>46168</v>
      </c>
      <c r="E11" s="14">
        <f t="shared" si="0"/>
        <v>46533</v>
      </c>
      <c r="F11" s="22" t="s">
        <v>33</v>
      </c>
      <c r="G11" s="22"/>
      <c r="H11" s="3" t="s">
        <v>34</v>
      </c>
      <c r="I11" s="4" t="s">
        <v>23</v>
      </c>
      <c r="J11" s="4" t="s">
        <v>24</v>
      </c>
      <c r="K11" s="4" t="s">
        <v>25</v>
      </c>
    </row>
    <row r="12" spans="1:13" ht="25.9" customHeight="1" x14ac:dyDescent="0.25">
      <c r="A12" s="3">
        <v>9</v>
      </c>
      <c r="B12" s="3" t="s">
        <v>8</v>
      </c>
      <c r="C12" s="4" t="s">
        <v>9</v>
      </c>
      <c r="D12" s="12">
        <v>46168</v>
      </c>
      <c r="E12" s="14">
        <f t="shared" si="0"/>
        <v>46533</v>
      </c>
      <c r="F12" s="22" t="s">
        <v>35</v>
      </c>
      <c r="G12" s="22"/>
      <c r="H12" s="3" t="s">
        <v>36</v>
      </c>
      <c r="I12" s="4" t="s">
        <v>12</v>
      </c>
      <c r="J12" s="4" t="s">
        <v>13</v>
      </c>
      <c r="K12" s="4" t="s">
        <v>14</v>
      </c>
    </row>
    <row r="13" spans="1:13" ht="25.9" customHeight="1" x14ac:dyDescent="0.25">
      <c r="A13" s="3">
        <v>10</v>
      </c>
      <c r="B13" s="3" t="s">
        <v>8</v>
      </c>
      <c r="C13" s="4" t="s">
        <v>9</v>
      </c>
      <c r="D13" s="12">
        <v>46168</v>
      </c>
      <c r="E13" s="14">
        <f t="shared" si="0"/>
        <v>46533</v>
      </c>
      <c r="F13" s="22" t="s">
        <v>37</v>
      </c>
      <c r="G13" s="22"/>
      <c r="H13" s="3" t="s">
        <v>38</v>
      </c>
      <c r="I13" s="4" t="s">
        <v>12</v>
      </c>
      <c r="J13" s="4" t="s">
        <v>13</v>
      </c>
      <c r="K13" s="4" t="s">
        <v>14</v>
      </c>
    </row>
    <row r="14" spans="1:13" ht="25.9" customHeight="1" x14ac:dyDescent="0.25">
      <c r="A14" s="3">
        <v>11</v>
      </c>
      <c r="B14" s="3" t="s">
        <v>8</v>
      </c>
      <c r="C14" s="4" t="s">
        <v>9</v>
      </c>
      <c r="D14" s="12">
        <v>46168</v>
      </c>
      <c r="E14" s="14">
        <f t="shared" si="0"/>
        <v>46533</v>
      </c>
      <c r="F14" s="22" t="s">
        <v>39</v>
      </c>
      <c r="G14" s="22"/>
      <c r="H14" s="3" t="s">
        <v>40</v>
      </c>
      <c r="I14" s="4" t="s">
        <v>12</v>
      </c>
      <c r="J14" s="4" t="s">
        <v>13</v>
      </c>
      <c r="K14" s="4" t="s">
        <v>14</v>
      </c>
    </row>
    <row r="15" spans="1:13" ht="25.9" customHeight="1" x14ac:dyDescent="0.25">
      <c r="A15" s="3">
        <v>12</v>
      </c>
      <c r="B15" s="3" t="s">
        <v>8</v>
      </c>
      <c r="C15" s="4" t="s">
        <v>9</v>
      </c>
      <c r="D15" s="12">
        <v>46168</v>
      </c>
      <c r="E15" s="14">
        <f t="shared" si="0"/>
        <v>46533</v>
      </c>
      <c r="F15" s="22" t="s">
        <v>41</v>
      </c>
      <c r="G15" s="22"/>
      <c r="H15" s="3" t="s">
        <v>42</v>
      </c>
      <c r="I15" s="4" t="s">
        <v>12</v>
      </c>
      <c r="J15" s="4" t="s">
        <v>13</v>
      </c>
      <c r="K15" s="4" t="s">
        <v>14</v>
      </c>
    </row>
    <row r="16" spans="1:13" ht="25.9" customHeight="1" x14ac:dyDescent="0.25">
      <c r="A16" s="3">
        <v>13</v>
      </c>
      <c r="B16" s="3" t="s">
        <v>8</v>
      </c>
      <c r="C16" s="4" t="s">
        <v>9</v>
      </c>
      <c r="D16" s="12">
        <v>46168</v>
      </c>
      <c r="E16" s="14">
        <f t="shared" si="0"/>
        <v>46533</v>
      </c>
      <c r="F16" s="22" t="s">
        <v>43</v>
      </c>
      <c r="G16" s="22"/>
      <c r="H16" s="3" t="s">
        <v>44</v>
      </c>
      <c r="I16" s="4" t="s">
        <v>12</v>
      </c>
      <c r="J16" s="4" t="s">
        <v>13</v>
      </c>
      <c r="K16" s="4" t="s">
        <v>14</v>
      </c>
    </row>
    <row r="17" spans="1:11" ht="25.9" customHeight="1" x14ac:dyDescent="0.25">
      <c r="A17" s="3">
        <v>14</v>
      </c>
      <c r="B17" s="3" t="s">
        <v>8</v>
      </c>
      <c r="C17" s="4" t="s">
        <v>9</v>
      </c>
      <c r="D17" s="12">
        <v>46168</v>
      </c>
      <c r="E17" s="14">
        <f t="shared" si="0"/>
        <v>46533</v>
      </c>
      <c r="F17" s="22" t="s">
        <v>45</v>
      </c>
      <c r="G17" s="22"/>
      <c r="H17" s="3" t="s">
        <v>46</v>
      </c>
      <c r="I17" s="4" t="s">
        <v>12</v>
      </c>
      <c r="J17" s="4" t="s">
        <v>13</v>
      </c>
      <c r="K17" s="4" t="s">
        <v>14</v>
      </c>
    </row>
    <row r="18" spans="1:11" ht="25.9" customHeight="1" x14ac:dyDescent="0.25">
      <c r="A18" s="3">
        <v>15</v>
      </c>
      <c r="B18" s="3" t="s">
        <v>8</v>
      </c>
      <c r="C18" s="4" t="s">
        <v>9</v>
      </c>
      <c r="D18" s="12">
        <v>46168</v>
      </c>
      <c r="E18" s="14">
        <f t="shared" si="0"/>
        <v>46533</v>
      </c>
      <c r="F18" s="22" t="s">
        <v>47</v>
      </c>
      <c r="G18" s="22"/>
      <c r="H18" s="3" t="s">
        <v>48</v>
      </c>
      <c r="I18" s="4" t="s">
        <v>12</v>
      </c>
      <c r="J18" s="4" t="s">
        <v>13</v>
      </c>
      <c r="K18" s="4" t="s">
        <v>14</v>
      </c>
    </row>
    <row r="19" spans="1:11" ht="25.9" customHeight="1" x14ac:dyDescent="0.25">
      <c r="A19" s="3">
        <v>16</v>
      </c>
      <c r="B19" s="3" t="s">
        <v>8</v>
      </c>
      <c r="C19" s="4" t="s">
        <v>9</v>
      </c>
      <c r="D19" s="12">
        <v>46168</v>
      </c>
      <c r="E19" s="14">
        <f t="shared" si="0"/>
        <v>46533</v>
      </c>
      <c r="F19" s="22" t="s">
        <v>49</v>
      </c>
      <c r="G19" s="22"/>
      <c r="H19" s="3" t="s">
        <v>50</v>
      </c>
      <c r="I19" s="4" t="s">
        <v>12</v>
      </c>
      <c r="J19" s="4" t="s">
        <v>13</v>
      </c>
      <c r="K19" s="4" t="s">
        <v>14</v>
      </c>
    </row>
    <row r="20" spans="1:11" ht="25.9" customHeight="1" x14ac:dyDescent="0.25">
      <c r="A20" s="3">
        <v>17</v>
      </c>
      <c r="B20" s="3" t="s">
        <v>8</v>
      </c>
      <c r="C20" s="4" t="s">
        <v>9</v>
      </c>
      <c r="D20" s="12">
        <v>46168</v>
      </c>
      <c r="E20" s="14">
        <f t="shared" si="0"/>
        <v>46533</v>
      </c>
      <c r="F20" s="22" t="s">
        <v>51</v>
      </c>
      <c r="G20" s="22"/>
      <c r="H20" s="3" t="s">
        <v>52</v>
      </c>
      <c r="I20" s="4" t="s">
        <v>12</v>
      </c>
      <c r="J20" s="4" t="s">
        <v>13</v>
      </c>
      <c r="K20" s="4" t="s">
        <v>14</v>
      </c>
    </row>
    <row r="21" spans="1:11" ht="25.9" customHeight="1" x14ac:dyDescent="0.25">
      <c r="A21" s="3">
        <v>18</v>
      </c>
      <c r="B21" s="3" t="s">
        <v>8</v>
      </c>
      <c r="C21" s="4" t="s">
        <v>9</v>
      </c>
      <c r="D21" s="12">
        <v>46168</v>
      </c>
      <c r="E21" s="14">
        <f t="shared" si="0"/>
        <v>46533</v>
      </c>
      <c r="F21" s="22" t="s">
        <v>53</v>
      </c>
      <c r="G21" s="22"/>
      <c r="H21" s="3" t="s">
        <v>54</v>
      </c>
      <c r="I21" s="4" t="s">
        <v>12</v>
      </c>
      <c r="J21" s="4" t="s">
        <v>13</v>
      </c>
      <c r="K21" s="4" t="s">
        <v>14</v>
      </c>
    </row>
    <row r="22" spans="1:11" ht="25.9" customHeight="1" x14ac:dyDescent="0.25">
      <c r="A22" s="3">
        <v>19</v>
      </c>
      <c r="B22" s="3" t="s">
        <v>8</v>
      </c>
      <c r="C22" s="4" t="s">
        <v>9</v>
      </c>
      <c r="D22" s="12">
        <v>46168</v>
      </c>
      <c r="E22" s="14">
        <f t="shared" si="0"/>
        <v>46533</v>
      </c>
      <c r="F22" s="22" t="s">
        <v>55</v>
      </c>
      <c r="G22" s="22"/>
      <c r="H22" s="3" t="s">
        <v>56</v>
      </c>
      <c r="I22" s="4" t="s">
        <v>23</v>
      </c>
      <c r="J22" s="4" t="s">
        <v>24</v>
      </c>
      <c r="K22" s="4" t="s">
        <v>25</v>
      </c>
    </row>
    <row r="23" spans="1:11" ht="25.9" customHeight="1" x14ac:dyDescent="0.25">
      <c r="A23" s="3">
        <v>20</v>
      </c>
      <c r="B23" s="3" t="s">
        <v>8</v>
      </c>
      <c r="C23" s="4" t="s">
        <v>9</v>
      </c>
      <c r="D23" s="12">
        <v>46168</v>
      </c>
      <c r="E23" s="14">
        <f t="shared" si="0"/>
        <v>46533</v>
      </c>
      <c r="F23" s="22" t="s">
        <v>57</v>
      </c>
      <c r="G23" s="22"/>
      <c r="H23" s="3" t="s">
        <v>58</v>
      </c>
      <c r="I23" s="4" t="s">
        <v>12</v>
      </c>
      <c r="J23" s="4" t="s">
        <v>13</v>
      </c>
      <c r="K23" s="4" t="s">
        <v>14</v>
      </c>
    </row>
    <row r="24" spans="1:11" ht="25.9" customHeight="1" x14ac:dyDescent="0.25">
      <c r="A24" s="3">
        <v>21</v>
      </c>
      <c r="B24" s="3" t="s">
        <v>8</v>
      </c>
      <c r="C24" s="4" t="s">
        <v>9</v>
      </c>
      <c r="D24" s="12">
        <v>46168</v>
      </c>
      <c r="E24" s="14">
        <f t="shared" si="0"/>
        <v>46533</v>
      </c>
      <c r="F24" s="22" t="s">
        <v>59</v>
      </c>
      <c r="G24" s="22"/>
      <c r="H24" s="3" t="s">
        <v>60</v>
      </c>
      <c r="I24" s="4" t="s">
        <v>12</v>
      </c>
      <c r="J24" s="4" t="s">
        <v>13</v>
      </c>
      <c r="K24" s="4" t="s">
        <v>14</v>
      </c>
    </row>
    <row r="25" spans="1:11" ht="25.9" customHeight="1" x14ac:dyDescent="0.25">
      <c r="A25" s="3">
        <v>22</v>
      </c>
      <c r="B25" s="3" t="s">
        <v>8</v>
      </c>
      <c r="C25" s="4" t="s">
        <v>9</v>
      </c>
      <c r="D25" s="12">
        <v>46168</v>
      </c>
      <c r="E25" s="14">
        <f t="shared" si="0"/>
        <v>46533</v>
      </c>
      <c r="F25" s="22" t="s">
        <v>61</v>
      </c>
      <c r="G25" s="22"/>
      <c r="H25" s="3" t="s">
        <v>62</v>
      </c>
      <c r="I25" s="4" t="s">
        <v>12</v>
      </c>
      <c r="J25" s="4" t="s">
        <v>13</v>
      </c>
      <c r="K25" s="4" t="s">
        <v>14</v>
      </c>
    </row>
    <row r="26" spans="1:11" ht="25.9" customHeight="1" x14ac:dyDescent="0.25">
      <c r="A26" s="3">
        <v>23</v>
      </c>
      <c r="B26" s="3" t="s">
        <v>8</v>
      </c>
      <c r="C26" s="4" t="s">
        <v>9</v>
      </c>
      <c r="D26" s="12">
        <v>46168</v>
      </c>
      <c r="E26" s="14">
        <f t="shared" si="0"/>
        <v>46533</v>
      </c>
      <c r="F26" s="22" t="s">
        <v>63</v>
      </c>
      <c r="G26" s="22"/>
      <c r="H26" s="3" t="s">
        <v>64</v>
      </c>
      <c r="I26" s="4" t="s">
        <v>12</v>
      </c>
      <c r="J26" s="4" t="s">
        <v>13</v>
      </c>
      <c r="K26" s="4" t="s">
        <v>14</v>
      </c>
    </row>
    <row r="27" spans="1:11" ht="25.9" customHeight="1" x14ac:dyDescent="0.25">
      <c r="A27" s="3">
        <v>24</v>
      </c>
      <c r="B27" s="3" t="s">
        <v>8</v>
      </c>
      <c r="C27" s="4" t="s">
        <v>9</v>
      </c>
      <c r="D27" s="12">
        <v>46168</v>
      </c>
      <c r="E27" s="14">
        <f t="shared" si="0"/>
        <v>46533</v>
      </c>
      <c r="F27" s="22" t="s">
        <v>65</v>
      </c>
      <c r="G27" s="22"/>
      <c r="H27" s="3" t="s">
        <v>66</v>
      </c>
      <c r="I27" s="4" t="s">
        <v>12</v>
      </c>
      <c r="J27" s="4" t="s">
        <v>13</v>
      </c>
      <c r="K27" s="4" t="s">
        <v>14</v>
      </c>
    </row>
    <row r="28" spans="1:11" ht="25.9" customHeight="1" x14ac:dyDescent="0.25">
      <c r="A28" s="3">
        <v>25</v>
      </c>
      <c r="B28" s="3" t="s">
        <v>8</v>
      </c>
      <c r="C28" s="4" t="s">
        <v>9</v>
      </c>
      <c r="D28" s="12">
        <v>46168</v>
      </c>
      <c r="E28" s="14">
        <f t="shared" si="0"/>
        <v>46533</v>
      </c>
      <c r="F28" s="22" t="s">
        <v>67</v>
      </c>
      <c r="G28" s="22"/>
      <c r="H28" s="3" t="s">
        <v>68</v>
      </c>
      <c r="I28" s="4" t="s">
        <v>12</v>
      </c>
      <c r="J28" s="4" t="s">
        <v>13</v>
      </c>
      <c r="K28" s="4" t="s">
        <v>14</v>
      </c>
    </row>
    <row r="29" spans="1:11" ht="25.9" customHeight="1" x14ac:dyDescent="0.25">
      <c r="A29" s="3">
        <v>26</v>
      </c>
      <c r="B29" s="3" t="s">
        <v>8</v>
      </c>
      <c r="C29" s="4" t="s">
        <v>9</v>
      </c>
      <c r="D29" s="12">
        <v>46168</v>
      </c>
      <c r="E29" s="14">
        <f t="shared" si="0"/>
        <v>46533</v>
      </c>
      <c r="F29" s="22" t="s">
        <v>69</v>
      </c>
      <c r="G29" s="22"/>
      <c r="H29" s="3" t="s">
        <v>70</v>
      </c>
      <c r="I29" s="4" t="s">
        <v>12</v>
      </c>
      <c r="J29" s="4" t="s">
        <v>13</v>
      </c>
      <c r="K29" s="4" t="s">
        <v>14</v>
      </c>
    </row>
    <row r="30" spans="1:11" ht="25.9" customHeight="1" x14ac:dyDescent="0.25">
      <c r="A30" s="3">
        <v>27</v>
      </c>
      <c r="B30" s="3" t="s">
        <v>8</v>
      </c>
      <c r="C30" s="4" t="s">
        <v>9</v>
      </c>
      <c r="D30" s="12">
        <v>46168</v>
      </c>
      <c r="E30" s="14">
        <f t="shared" si="0"/>
        <v>46533</v>
      </c>
      <c r="F30" s="22" t="s">
        <v>71</v>
      </c>
      <c r="G30" s="22"/>
      <c r="H30" s="3" t="s">
        <v>72</v>
      </c>
      <c r="I30" s="4" t="s">
        <v>12</v>
      </c>
      <c r="J30" s="4" t="s">
        <v>13</v>
      </c>
      <c r="K30" s="4" t="s">
        <v>14</v>
      </c>
    </row>
    <row r="31" spans="1:11" ht="25.9" customHeight="1" x14ac:dyDescent="0.25">
      <c r="A31" s="3">
        <v>28</v>
      </c>
      <c r="B31" s="3" t="s">
        <v>8</v>
      </c>
      <c r="C31" s="4" t="s">
        <v>9</v>
      </c>
      <c r="D31" s="12">
        <v>46168</v>
      </c>
      <c r="E31" s="14">
        <f t="shared" si="0"/>
        <v>46533</v>
      </c>
      <c r="F31" s="22" t="s">
        <v>73</v>
      </c>
      <c r="G31" s="22"/>
      <c r="H31" s="3" t="s">
        <v>74</v>
      </c>
      <c r="I31" s="4" t="s">
        <v>12</v>
      </c>
      <c r="J31" s="4" t="s">
        <v>13</v>
      </c>
      <c r="K31" s="4" t="s">
        <v>14</v>
      </c>
    </row>
    <row r="32" spans="1:11" ht="25.9" customHeight="1" x14ac:dyDescent="0.25">
      <c r="A32" s="3">
        <v>29</v>
      </c>
      <c r="B32" s="3" t="s">
        <v>8</v>
      </c>
      <c r="C32" s="4" t="s">
        <v>9</v>
      </c>
      <c r="D32" s="12">
        <v>46168</v>
      </c>
      <c r="E32" s="14">
        <f t="shared" si="0"/>
        <v>46533</v>
      </c>
      <c r="F32" s="22" t="s">
        <v>75</v>
      </c>
      <c r="G32" s="22"/>
      <c r="H32" s="3" t="s">
        <v>76</v>
      </c>
      <c r="I32" s="4" t="s">
        <v>12</v>
      </c>
      <c r="J32" s="4" t="s">
        <v>13</v>
      </c>
      <c r="K32" s="4" t="s">
        <v>14</v>
      </c>
    </row>
    <row r="33" spans="1:11" ht="25.9" customHeight="1" x14ac:dyDescent="0.25">
      <c r="A33" s="3">
        <v>30</v>
      </c>
      <c r="B33" s="3" t="s">
        <v>8</v>
      </c>
      <c r="C33" s="4" t="s">
        <v>9</v>
      </c>
      <c r="D33" s="12">
        <v>46168</v>
      </c>
      <c r="E33" s="14">
        <f t="shared" si="0"/>
        <v>46533</v>
      </c>
      <c r="F33" s="22" t="s">
        <v>77</v>
      </c>
      <c r="G33" s="22"/>
      <c r="H33" s="3" t="s">
        <v>78</v>
      </c>
      <c r="I33" s="4" t="s">
        <v>12</v>
      </c>
      <c r="J33" s="4" t="s">
        <v>13</v>
      </c>
      <c r="K33" s="4" t="s">
        <v>14</v>
      </c>
    </row>
    <row r="34" spans="1:11" ht="25.9" customHeight="1" x14ac:dyDescent="0.25">
      <c r="A34" s="3">
        <v>31</v>
      </c>
      <c r="B34" s="3" t="s">
        <v>8</v>
      </c>
      <c r="C34" s="4" t="s">
        <v>9</v>
      </c>
      <c r="D34" s="12">
        <v>46168</v>
      </c>
      <c r="E34" s="14">
        <f t="shared" si="0"/>
        <v>46533</v>
      </c>
      <c r="F34" s="22" t="s">
        <v>79</v>
      </c>
      <c r="G34" s="22"/>
      <c r="H34" s="3" t="s">
        <v>80</v>
      </c>
      <c r="I34" s="4" t="s">
        <v>12</v>
      </c>
      <c r="J34" s="4" t="s">
        <v>13</v>
      </c>
      <c r="K34" s="4" t="s">
        <v>14</v>
      </c>
    </row>
    <row r="35" spans="1:11" ht="25.9" customHeight="1" x14ac:dyDescent="0.25">
      <c r="A35" s="3">
        <v>32</v>
      </c>
      <c r="B35" s="3" t="s">
        <v>8</v>
      </c>
      <c r="C35" s="4" t="s">
        <v>9</v>
      </c>
      <c r="D35" s="12">
        <v>46168</v>
      </c>
      <c r="E35" s="14">
        <f t="shared" si="0"/>
        <v>46533</v>
      </c>
      <c r="F35" s="22" t="s">
        <v>81</v>
      </c>
      <c r="G35" s="22"/>
      <c r="H35" s="3" t="s">
        <v>82</v>
      </c>
      <c r="I35" s="4" t="s">
        <v>12</v>
      </c>
      <c r="J35" s="4" t="s">
        <v>13</v>
      </c>
      <c r="K35" s="4" t="s">
        <v>14</v>
      </c>
    </row>
    <row r="36" spans="1:11" ht="25.9" customHeight="1" x14ac:dyDescent="0.25">
      <c r="A36" s="3">
        <v>33</v>
      </c>
      <c r="B36" s="3" t="s">
        <v>8</v>
      </c>
      <c r="C36" s="4" t="s">
        <v>9</v>
      </c>
      <c r="D36" s="12">
        <v>46168</v>
      </c>
      <c r="E36" s="14">
        <f t="shared" si="0"/>
        <v>46533</v>
      </c>
      <c r="F36" s="22" t="s">
        <v>83</v>
      </c>
      <c r="G36" s="22"/>
      <c r="H36" s="3" t="s">
        <v>84</v>
      </c>
      <c r="I36" s="4" t="s">
        <v>12</v>
      </c>
      <c r="J36" s="4" t="s">
        <v>13</v>
      </c>
      <c r="K36" s="4" t="s">
        <v>14</v>
      </c>
    </row>
    <row r="37" spans="1:11" ht="25.9" customHeight="1" x14ac:dyDescent="0.25">
      <c r="A37" s="3">
        <v>34</v>
      </c>
      <c r="B37" s="3" t="s">
        <v>8</v>
      </c>
      <c r="C37" s="4" t="s">
        <v>9</v>
      </c>
      <c r="D37" s="12">
        <v>46168</v>
      </c>
      <c r="E37" s="14">
        <f t="shared" si="0"/>
        <v>46533</v>
      </c>
      <c r="F37" s="22" t="s">
        <v>85</v>
      </c>
      <c r="G37" s="22"/>
      <c r="H37" s="3" t="s">
        <v>86</v>
      </c>
      <c r="I37" s="4" t="s">
        <v>12</v>
      </c>
      <c r="J37" s="4" t="s">
        <v>13</v>
      </c>
      <c r="K37" s="4" t="s">
        <v>14</v>
      </c>
    </row>
    <row r="38" spans="1:11" ht="25.9" customHeight="1" x14ac:dyDescent="0.25">
      <c r="A38" s="3">
        <v>35</v>
      </c>
      <c r="B38" s="3" t="s">
        <v>8</v>
      </c>
      <c r="C38" s="4" t="s">
        <v>9</v>
      </c>
      <c r="D38" s="12">
        <v>46168</v>
      </c>
      <c r="E38" s="14">
        <f t="shared" si="0"/>
        <v>46533</v>
      </c>
      <c r="F38" s="22" t="s">
        <v>87</v>
      </c>
      <c r="G38" s="22"/>
      <c r="H38" s="3" t="s">
        <v>88</v>
      </c>
      <c r="I38" s="4" t="s">
        <v>12</v>
      </c>
      <c r="J38" s="4" t="s">
        <v>13</v>
      </c>
      <c r="K38" s="4" t="s">
        <v>14</v>
      </c>
    </row>
    <row r="39" spans="1:11" ht="25.9" customHeight="1" x14ac:dyDescent="0.25">
      <c r="A39" s="3">
        <v>36</v>
      </c>
      <c r="B39" s="3" t="s">
        <v>8</v>
      </c>
      <c r="C39" s="4" t="s">
        <v>9</v>
      </c>
      <c r="D39" s="12">
        <v>46168</v>
      </c>
      <c r="E39" s="14">
        <f t="shared" si="0"/>
        <v>46533</v>
      </c>
      <c r="F39" s="22" t="s">
        <v>89</v>
      </c>
      <c r="G39" s="22"/>
      <c r="H39" s="3" t="s">
        <v>90</v>
      </c>
      <c r="I39" s="4" t="s">
        <v>12</v>
      </c>
      <c r="J39" s="4" t="s">
        <v>13</v>
      </c>
      <c r="K39" s="4" t="s">
        <v>14</v>
      </c>
    </row>
    <row r="40" spans="1:11" ht="25.9" customHeight="1" x14ac:dyDescent="0.25">
      <c r="A40" s="3">
        <v>37</v>
      </c>
      <c r="B40" s="3" t="s">
        <v>8</v>
      </c>
      <c r="C40" s="4" t="s">
        <v>9</v>
      </c>
      <c r="D40" s="12">
        <v>46168</v>
      </c>
      <c r="E40" s="14">
        <f t="shared" si="0"/>
        <v>46533</v>
      </c>
      <c r="F40" s="22" t="s">
        <v>91</v>
      </c>
      <c r="G40" s="22"/>
      <c r="H40" s="3" t="s">
        <v>92</v>
      </c>
      <c r="I40" s="4" t="s">
        <v>12</v>
      </c>
      <c r="J40" s="4" t="s">
        <v>13</v>
      </c>
      <c r="K40" s="4" t="s">
        <v>14</v>
      </c>
    </row>
    <row r="41" spans="1:11" ht="25.9" customHeight="1" x14ac:dyDescent="0.25">
      <c r="A41" s="3">
        <v>38</v>
      </c>
      <c r="B41" s="3" t="s">
        <v>8</v>
      </c>
      <c r="C41" s="4" t="s">
        <v>9</v>
      </c>
      <c r="D41" s="12">
        <v>46168</v>
      </c>
      <c r="E41" s="14">
        <f t="shared" si="0"/>
        <v>46533</v>
      </c>
      <c r="F41" s="22" t="s">
        <v>93</v>
      </c>
      <c r="G41" s="22"/>
      <c r="H41" s="3" t="s">
        <v>94</v>
      </c>
      <c r="I41" s="4" t="s">
        <v>12</v>
      </c>
      <c r="J41" s="4" t="s">
        <v>13</v>
      </c>
      <c r="K41" s="4" t="s">
        <v>14</v>
      </c>
    </row>
    <row r="42" spans="1:11" ht="25.9" customHeight="1" x14ac:dyDescent="0.25">
      <c r="A42" s="3">
        <v>39</v>
      </c>
      <c r="B42" s="3" t="s">
        <v>8</v>
      </c>
      <c r="C42" s="4" t="s">
        <v>9</v>
      </c>
      <c r="D42" s="12">
        <v>46168</v>
      </c>
      <c r="E42" s="14">
        <f t="shared" si="0"/>
        <v>46533</v>
      </c>
      <c r="F42" s="22" t="s">
        <v>95</v>
      </c>
      <c r="G42" s="22"/>
      <c r="H42" s="3" t="s">
        <v>96</v>
      </c>
      <c r="I42" s="4" t="s">
        <v>12</v>
      </c>
      <c r="J42" s="4" t="s">
        <v>13</v>
      </c>
      <c r="K42" s="4" t="s">
        <v>14</v>
      </c>
    </row>
    <row r="43" spans="1:11" ht="25.9" customHeight="1" x14ac:dyDescent="0.25">
      <c r="A43" s="3">
        <v>40</v>
      </c>
      <c r="B43" s="3" t="s">
        <v>8</v>
      </c>
      <c r="C43" s="4" t="s">
        <v>9</v>
      </c>
      <c r="D43" s="12">
        <v>46168</v>
      </c>
      <c r="E43" s="14">
        <f t="shared" si="0"/>
        <v>46533</v>
      </c>
      <c r="F43" s="22" t="s">
        <v>97</v>
      </c>
      <c r="G43" s="22"/>
      <c r="H43" s="3" t="s">
        <v>98</v>
      </c>
      <c r="I43" s="4" t="s">
        <v>12</v>
      </c>
      <c r="J43" s="4" t="s">
        <v>13</v>
      </c>
      <c r="K43" s="4" t="s">
        <v>14</v>
      </c>
    </row>
    <row r="44" spans="1:11" ht="25.9" customHeight="1" x14ac:dyDescent="0.25">
      <c r="A44" s="3">
        <v>41</v>
      </c>
      <c r="B44" s="3" t="s">
        <v>8</v>
      </c>
      <c r="C44" s="4" t="s">
        <v>9</v>
      </c>
      <c r="D44" s="12">
        <v>46168</v>
      </c>
      <c r="E44" s="14">
        <f t="shared" si="0"/>
        <v>46533</v>
      </c>
      <c r="F44" s="22" t="s">
        <v>99</v>
      </c>
      <c r="G44" s="22"/>
      <c r="H44" s="3" t="s">
        <v>100</v>
      </c>
      <c r="I44" s="4" t="s">
        <v>12</v>
      </c>
      <c r="J44" s="4" t="s">
        <v>13</v>
      </c>
      <c r="K44" s="4" t="s">
        <v>14</v>
      </c>
    </row>
    <row r="45" spans="1:11" ht="25.9" customHeight="1" x14ac:dyDescent="0.25">
      <c r="A45" s="3">
        <v>42</v>
      </c>
      <c r="B45" s="3" t="s">
        <v>8</v>
      </c>
      <c r="C45" s="4" t="s">
        <v>9</v>
      </c>
      <c r="D45" s="12">
        <v>46168</v>
      </c>
      <c r="E45" s="14">
        <f t="shared" si="0"/>
        <v>46533</v>
      </c>
      <c r="F45" s="22" t="s">
        <v>101</v>
      </c>
      <c r="G45" s="22"/>
      <c r="H45" s="3" t="s">
        <v>102</v>
      </c>
      <c r="I45" s="4" t="s">
        <v>12</v>
      </c>
      <c r="J45" s="4" t="s">
        <v>13</v>
      </c>
      <c r="K45" s="4" t="s">
        <v>14</v>
      </c>
    </row>
    <row r="46" spans="1:11" ht="25.9" customHeight="1" x14ac:dyDescent="0.25">
      <c r="A46" s="3">
        <v>43</v>
      </c>
      <c r="B46" s="3" t="s">
        <v>8</v>
      </c>
      <c r="C46" s="4" t="s">
        <v>9</v>
      </c>
      <c r="D46" s="12">
        <v>46168</v>
      </c>
      <c r="E46" s="14">
        <f t="shared" si="0"/>
        <v>46533</v>
      </c>
      <c r="F46" s="22" t="s">
        <v>103</v>
      </c>
      <c r="G46" s="22"/>
      <c r="H46" s="3" t="s">
        <v>104</v>
      </c>
      <c r="I46" s="4" t="s">
        <v>12</v>
      </c>
      <c r="J46" s="4" t="s">
        <v>13</v>
      </c>
      <c r="K46" s="4" t="s">
        <v>14</v>
      </c>
    </row>
    <row r="47" spans="1:11" ht="25.9" customHeight="1" x14ac:dyDescent="0.25">
      <c r="A47" s="3">
        <v>44</v>
      </c>
      <c r="B47" s="3" t="s">
        <v>8</v>
      </c>
      <c r="C47" s="4" t="s">
        <v>9</v>
      </c>
      <c r="D47" s="12">
        <v>46168</v>
      </c>
      <c r="E47" s="14">
        <f t="shared" si="0"/>
        <v>46533</v>
      </c>
      <c r="F47" s="22" t="s">
        <v>105</v>
      </c>
      <c r="G47" s="22"/>
      <c r="H47" s="3" t="s">
        <v>106</v>
      </c>
      <c r="I47" s="4" t="s">
        <v>12</v>
      </c>
      <c r="J47" s="4" t="s">
        <v>13</v>
      </c>
      <c r="K47" s="4" t="s">
        <v>14</v>
      </c>
    </row>
    <row r="48" spans="1:11" ht="25.9" customHeight="1" x14ac:dyDescent="0.25">
      <c r="A48" s="3">
        <v>45</v>
      </c>
      <c r="B48" s="3" t="s">
        <v>8</v>
      </c>
      <c r="C48" s="4" t="s">
        <v>9</v>
      </c>
      <c r="D48" s="12">
        <v>46168</v>
      </c>
      <c r="E48" s="14">
        <f t="shared" si="0"/>
        <v>46533</v>
      </c>
      <c r="F48" s="22" t="s">
        <v>107</v>
      </c>
      <c r="G48" s="22"/>
      <c r="H48" s="3" t="s">
        <v>108</v>
      </c>
      <c r="I48" s="4" t="s">
        <v>12</v>
      </c>
      <c r="J48" s="4" t="s">
        <v>13</v>
      </c>
      <c r="K48" s="4" t="s">
        <v>14</v>
      </c>
    </row>
    <row r="49" spans="1:11" ht="25.9" customHeight="1" x14ac:dyDescent="0.25">
      <c r="A49" s="3">
        <v>46</v>
      </c>
      <c r="B49" s="3" t="s">
        <v>8</v>
      </c>
      <c r="C49" s="4" t="s">
        <v>9</v>
      </c>
      <c r="D49" s="12">
        <v>46168</v>
      </c>
      <c r="E49" s="14">
        <f t="shared" si="0"/>
        <v>46533</v>
      </c>
      <c r="F49" s="22" t="s">
        <v>109</v>
      </c>
      <c r="G49" s="22"/>
      <c r="H49" s="3" t="s">
        <v>110</v>
      </c>
      <c r="I49" s="4" t="s">
        <v>12</v>
      </c>
      <c r="J49" s="4" t="s">
        <v>13</v>
      </c>
      <c r="K49" s="4" t="s">
        <v>14</v>
      </c>
    </row>
    <row r="50" spans="1:11" ht="25.9" customHeight="1" x14ac:dyDescent="0.25">
      <c r="A50" s="3">
        <v>47</v>
      </c>
      <c r="B50" s="3" t="s">
        <v>8</v>
      </c>
      <c r="C50" s="4" t="s">
        <v>9</v>
      </c>
      <c r="D50" s="12">
        <v>46168</v>
      </c>
      <c r="E50" s="14">
        <f t="shared" si="0"/>
        <v>46533</v>
      </c>
      <c r="F50" s="22" t="s">
        <v>111</v>
      </c>
      <c r="G50" s="22"/>
      <c r="H50" s="3" t="s">
        <v>112</v>
      </c>
      <c r="I50" s="4" t="s">
        <v>12</v>
      </c>
      <c r="J50" s="4" t="s">
        <v>13</v>
      </c>
      <c r="K50" s="4" t="s">
        <v>14</v>
      </c>
    </row>
    <row r="51" spans="1:11" ht="25.9" customHeight="1" x14ac:dyDescent="0.25">
      <c r="A51" s="3">
        <v>48</v>
      </c>
      <c r="B51" s="3" t="s">
        <v>8</v>
      </c>
      <c r="C51" s="4" t="s">
        <v>9</v>
      </c>
      <c r="D51" s="12">
        <v>46168</v>
      </c>
      <c r="E51" s="14">
        <f t="shared" si="0"/>
        <v>46533</v>
      </c>
      <c r="F51" s="22" t="s">
        <v>113</v>
      </c>
      <c r="G51" s="22"/>
      <c r="H51" s="3" t="s">
        <v>114</v>
      </c>
      <c r="I51" s="4" t="s">
        <v>12</v>
      </c>
      <c r="J51" s="4" t="s">
        <v>13</v>
      </c>
      <c r="K51" s="4" t="s">
        <v>14</v>
      </c>
    </row>
    <row r="52" spans="1:11" ht="25.9" customHeight="1" x14ac:dyDescent="0.25">
      <c r="A52" s="3">
        <v>49</v>
      </c>
      <c r="B52" s="3" t="s">
        <v>8</v>
      </c>
      <c r="C52" s="4" t="s">
        <v>9</v>
      </c>
      <c r="D52" s="12">
        <v>46168</v>
      </c>
      <c r="E52" s="14">
        <f t="shared" si="0"/>
        <v>46533</v>
      </c>
      <c r="F52" s="22" t="s">
        <v>115</v>
      </c>
      <c r="G52" s="22"/>
      <c r="H52" s="3" t="s">
        <v>116</v>
      </c>
      <c r="I52" s="4" t="s">
        <v>12</v>
      </c>
      <c r="J52" s="4" t="s">
        <v>13</v>
      </c>
      <c r="K52" s="4" t="s">
        <v>14</v>
      </c>
    </row>
    <row r="53" spans="1:11" ht="25.9" customHeight="1" x14ac:dyDescent="0.25">
      <c r="A53" s="3">
        <v>50</v>
      </c>
      <c r="B53" s="3" t="s">
        <v>8</v>
      </c>
      <c r="C53" s="4" t="s">
        <v>9</v>
      </c>
      <c r="D53" s="12">
        <v>46168</v>
      </c>
      <c r="E53" s="14">
        <f t="shared" si="0"/>
        <v>46533</v>
      </c>
      <c r="F53" s="22" t="s">
        <v>117</v>
      </c>
      <c r="G53" s="22"/>
      <c r="H53" s="3" t="s">
        <v>118</v>
      </c>
      <c r="I53" s="4" t="s">
        <v>12</v>
      </c>
      <c r="J53" s="4" t="s">
        <v>13</v>
      </c>
      <c r="K53" s="4" t="s">
        <v>14</v>
      </c>
    </row>
    <row r="54" spans="1:11" ht="25.9" customHeight="1" x14ac:dyDescent="0.25">
      <c r="A54" s="3">
        <v>51</v>
      </c>
      <c r="B54" s="3" t="s">
        <v>8</v>
      </c>
      <c r="C54" s="4" t="s">
        <v>9</v>
      </c>
      <c r="D54" s="12">
        <v>46168</v>
      </c>
      <c r="E54" s="14">
        <f t="shared" si="0"/>
        <v>46533</v>
      </c>
      <c r="F54" s="22" t="s">
        <v>119</v>
      </c>
      <c r="G54" s="22"/>
      <c r="H54" s="3" t="s">
        <v>120</v>
      </c>
      <c r="I54" s="4" t="s">
        <v>12</v>
      </c>
      <c r="J54" s="4" t="s">
        <v>13</v>
      </c>
      <c r="K54" s="4" t="s">
        <v>14</v>
      </c>
    </row>
    <row r="55" spans="1:11" ht="25.9" customHeight="1" x14ac:dyDescent="0.25">
      <c r="A55" s="3">
        <v>52</v>
      </c>
      <c r="B55" s="3" t="s">
        <v>8</v>
      </c>
      <c r="C55" s="4" t="s">
        <v>9</v>
      </c>
      <c r="D55" s="12">
        <v>46168</v>
      </c>
      <c r="E55" s="14">
        <f t="shared" si="0"/>
        <v>46533</v>
      </c>
      <c r="F55" s="22" t="s">
        <v>121</v>
      </c>
      <c r="G55" s="22"/>
      <c r="H55" s="3" t="s">
        <v>122</v>
      </c>
      <c r="I55" s="4" t="s">
        <v>12</v>
      </c>
      <c r="J55" s="4" t="s">
        <v>13</v>
      </c>
      <c r="K55" s="4" t="s">
        <v>14</v>
      </c>
    </row>
    <row r="56" spans="1:11" ht="25.9" customHeight="1" x14ac:dyDescent="0.25">
      <c r="A56" s="3">
        <v>53</v>
      </c>
      <c r="B56" s="3" t="s">
        <v>8</v>
      </c>
      <c r="C56" s="4" t="s">
        <v>9</v>
      </c>
      <c r="D56" s="12">
        <v>46168</v>
      </c>
      <c r="E56" s="14">
        <f t="shared" si="0"/>
        <v>46533</v>
      </c>
      <c r="F56" s="22" t="s">
        <v>123</v>
      </c>
      <c r="G56" s="22"/>
      <c r="H56" s="3" t="s">
        <v>124</v>
      </c>
      <c r="I56" s="4" t="s">
        <v>12</v>
      </c>
      <c r="J56" s="4" t="s">
        <v>13</v>
      </c>
      <c r="K56" s="4" t="s">
        <v>14</v>
      </c>
    </row>
    <row r="57" spans="1:11" ht="25.9" customHeight="1" x14ac:dyDescent="0.25">
      <c r="A57" s="3">
        <v>54</v>
      </c>
      <c r="B57" s="3" t="s">
        <v>8</v>
      </c>
      <c r="C57" s="4" t="s">
        <v>9</v>
      </c>
      <c r="D57" s="12">
        <v>46168</v>
      </c>
      <c r="E57" s="14">
        <f t="shared" si="0"/>
        <v>46533</v>
      </c>
      <c r="F57" s="22" t="s">
        <v>125</v>
      </c>
      <c r="G57" s="22"/>
      <c r="H57" s="3" t="s">
        <v>126</v>
      </c>
      <c r="I57" s="4" t="s">
        <v>127</v>
      </c>
      <c r="J57" s="4" t="s">
        <v>128</v>
      </c>
      <c r="K57" s="4" t="s">
        <v>129</v>
      </c>
    </row>
    <row r="58" spans="1:11" ht="25.9" customHeight="1" x14ac:dyDescent="0.25">
      <c r="A58" s="3">
        <v>55</v>
      </c>
      <c r="B58" s="3" t="s">
        <v>8</v>
      </c>
      <c r="C58" s="4" t="s">
        <v>9</v>
      </c>
      <c r="D58" s="12">
        <v>46168</v>
      </c>
      <c r="E58" s="14">
        <f t="shared" si="0"/>
        <v>46533</v>
      </c>
      <c r="F58" s="22" t="s">
        <v>130</v>
      </c>
      <c r="G58" s="22"/>
      <c r="H58" s="3" t="s">
        <v>131</v>
      </c>
      <c r="I58" s="4" t="s">
        <v>28</v>
      </c>
      <c r="J58" s="4" t="s">
        <v>29</v>
      </c>
      <c r="K58" s="15" t="s">
        <v>30</v>
      </c>
    </row>
    <row r="59" spans="1:11" ht="25.9" customHeight="1" x14ac:dyDescent="0.25">
      <c r="A59" s="3">
        <v>56</v>
      </c>
      <c r="B59" s="3" t="s">
        <v>8</v>
      </c>
      <c r="C59" s="4" t="s">
        <v>9</v>
      </c>
      <c r="D59" s="12">
        <v>46168</v>
      </c>
      <c r="E59" s="14">
        <f t="shared" si="0"/>
        <v>46533</v>
      </c>
      <c r="F59" s="22" t="s">
        <v>132</v>
      </c>
      <c r="G59" s="22"/>
      <c r="H59" s="3" t="s">
        <v>133</v>
      </c>
      <c r="I59" s="4" t="s">
        <v>127</v>
      </c>
      <c r="J59" s="4" t="s">
        <v>128</v>
      </c>
      <c r="K59" s="4" t="s">
        <v>129</v>
      </c>
    </row>
    <row r="60" spans="1:11" ht="25.9" customHeight="1" x14ac:dyDescent="0.25">
      <c r="A60" s="3">
        <v>57</v>
      </c>
      <c r="B60" s="3" t="s">
        <v>8</v>
      </c>
      <c r="C60" s="4" t="s">
        <v>9</v>
      </c>
      <c r="D60" s="12">
        <v>46168</v>
      </c>
      <c r="E60" s="14">
        <f t="shared" si="0"/>
        <v>46533</v>
      </c>
      <c r="F60" s="22" t="s">
        <v>134</v>
      </c>
      <c r="G60" s="22"/>
      <c r="H60" s="3" t="s">
        <v>135</v>
      </c>
      <c r="I60" s="4" t="s">
        <v>127</v>
      </c>
      <c r="J60" s="4" t="s">
        <v>128</v>
      </c>
      <c r="K60" s="4" t="s">
        <v>129</v>
      </c>
    </row>
    <row r="61" spans="1:11" ht="25.9" customHeight="1" x14ac:dyDescent="0.25">
      <c r="A61" s="3">
        <v>58</v>
      </c>
      <c r="B61" s="3" t="s">
        <v>8</v>
      </c>
      <c r="C61" s="4" t="s">
        <v>9</v>
      </c>
      <c r="D61" s="12">
        <v>46168</v>
      </c>
      <c r="E61" s="14">
        <f t="shared" si="0"/>
        <v>46533</v>
      </c>
      <c r="F61" s="22" t="s">
        <v>136</v>
      </c>
      <c r="G61" s="22"/>
      <c r="H61" s="3" t="s">
        <v>137</v>
      </c>
      <c r="I61" s="4" t="s">
        <v>138</v>
      </c>
      <c r="J61" s="4" t="s">
        <v>139</v>
      </c>
      <c r="K61" s="4" t="s">
        <v>140</v>
      </c>
    </row>
    <row r="62" spans="1:11" ht="25.9" customHeight="1" x14ac:dyDescent="0.25">
      <c r="A62" s="3">
        <v>59</v>
      </c>
      <c r="B62" s="3" t="s">
        <v>8</v>
      </c>
      <c r="C62" s="4" t="s">
        <v>9</v>
      </c>
      <c r="D62" s="12">
        <v>46168</v>
      </c>
      <c r="E62" s="14">
        <f t="shared" si="0"/>
        <v>46533</v>
      </c>
      <c r="F62" s="22" t="s">
        <v>141</v>
      </c>
      <c r="G62" s="22"/>
      <c r="H62" s="3" t="s">
        <v>142</v>
      </c>
      <c r="I62" s="4" t="s">
        <v>127</v>
      </c>
      <c r="J62" s="4" t="s">
        <v>128</v>
      </c>
      <c r="K62" s="4" t="s">
        <v>129</v>
      </c>
    </row>
    <row r="63" spans="1:11" ht="25.9" customHeight="1" x14ac:dyDescent="0.25">
      <c r="A63" s="3">
        <v>60</v>
      </c>
      <c r="B63" s="3" t="s">
        <v>8</v>
      </c>
      <c r="C63" s="4" t="s">
        <v>9</v>
      </c>
      <c r="D63" s="12">
        <v>46168</v>
      </c>
      <c r="E63" s="14">
        <f t="shared" si="0"/>
        <v>46533</v>
      </c>
      <c r="F63" s="22" t="s">
        <v>143</v>
      </c>
      <c r="G63" s="22"/>
      <c r="H63" s="3" t="s">
        <v>144</v>
      </c>
      <c r="I63" s="4" t="s">
        <v>12</v>
      </c>
      <c r="J63" s="4" t="s">
        <v>13</v>
      </c>
      <c r="K63" s="4" t="s">
        <v>14</v>
      </c>
    </row>
    <row r="64" spans="1:11" ht="25.9" customHeight="1" x14ac:dyDescent="0.25">
      <c r="A64" s="3">
        <v>61</v>
      </c>
      <c r="B64" s="3" t="s">
        <v>8</v>
      </c>
      <c r="C64" s="4" t="s">
        <v>9</v>
      </c>
      <c r="D64" s="12">
        <v>46168</v>
      </c>
      <c r="E64" s="14">
        <f t="shared" si="0"/>
        <v>46533</v>
      </c>
      <c r="F64" s="22" t="s">
        <v>145</v>
      </c>
      <c r="G64" s="22"/>
      <c r="H64" s="3" t="s">
        <v>146</v>
      </c>
      <c r="I64" s="4" t="s">
        <v>127</v>
      </c>
      <c r="J64" s="4" t="s">
        <v>128</v>
      </c>
      <c r="K64" s="4" t="s">
        <v>129</v>
      </c>
    </row>
    <row r="65" spans="1:11" ht="25.9" customHeight="1" x14ac:dyDescent="0.25">
      <c r="A65" s="3">
        <v>62</v>
      </c>
      <c r="B65" s="3" t="s">
        <v>8</v>
      </c>
      <c r="C65" s="4" t="s">
        <v>9</v>
      </c>
      <c r="D65" s="12">
        <v>46168</v>
      </c>
      <c r="E65" s="14">
        <f t="shared" si="0"/>
        <v>46533</v>
      </c>
      <c r="F65" s="22" t="s">
        <v>147</v>
      </c>
      <c r="G65" s="22"/>
      <c r="H65" s="3" t="s">
        <v>148</v>
      </c>
      <c r="I65" s="4" t="s">
        <v>127</v>
      </c>
      <c r="J65" s="4" t="s">
        <v>128</v>
      </c>
      <c r="K65" s="4" t="s">
        <v>129</v>
      </c>
    </row>
    <row r="66" spans="1:11" ht="25.9" customHeight="1" x14ac:dyDescent="0.25">
      <c r="A66" s="3">
        <v>63</v>
      </c>
      <c r="B66" s="3" t="s">
        <v>8</v>
      </c>
      <c r="C66" s="4" t="s">
        <v>9</v>
      </c>
      <c r="D66" s="12">
        <v>46168</v>
      </c>
      <c r="E66" s="14">
        <f t="shared" si="0"/>
        <v>46533</v>
      </c>
      <c r="F66" s="22" t="s">
        <v>149</v>
      </c>
      <c r="G66" s="22"/>
      <c r="H66" s="3" t="s">
        <v>150</v>
      </c>
      <c r="I66" s="4" t="s">
        <v>127</v>
      </c>
      <c r="J66" s="4" t="s">
        <v>128</v>
      </c>
      <c r="K66" s="4" t="s">
        <v>129</v>
      </c>
    </row>
    <row r="67" spans="1:11" ht="25.9" customHeight="1" x14ac:dyDescent="0.25">
      <c r="A67" s="3">
        <v>64</v>
      </c>
      <c r="B67" s="3" t="s">
        <v>8</v>
      </c>
      <c r="C67" s="4" t="s">
        <v>9</v>
      </c>
      <c r="D67" s="12">
        <v>46168</v>
      </c>
      <c r="E67" s="14">
        <f t="shared" si="0"/>
        <v>46533</v>
      </c>
      <c r="F67" s="22" t="s">
        <v>151</v>
      </c>
      <c r="G67" s="22"/>
      <c r="H67" s="3" t="s">
        <v>152</v>
      </c>
      <c r="I67" s="4" t="s">
        <v>127</v>
      </c>
      <c r="J67" s="4" t="s">
        <v>128</v>
      </c>
      <c r="K67" s="4" t="s">
        <v>129</v>
      </c>
    </row>
    <row r="68" spans="1:11" ht="25.9" customHeight="1" x14ac:dyDescent="0.25">
      <c r="A68" s="3">
        <v>65</v>
      </c>
      <c r="B68" s="3" t="s">
        <v>8</v>
      </c>
      <c r="C68" s="4" t="s">
        <v>9</v>
      </c>
      <c r="D68" s="12">
        <v>46168</v>
      </c>
      <c r="E68" s="14">
        <f t="shared" si="0"/>
        <v>46533</v>
      </c>
      <c r="F68" s="22" t="s">
        <v>151</v>
      </c>
      <c r="G68" s="22"/>
      <c r="H68" s="3" t="s">
        <v>153</v>
      </c>
      <c r="I68" s="4" t="s">
        <v>127</v>
      </c>
      <c r="J68" s="4" t="s">
        <v>128</v>
      </c>
      <c r="K68" s="4" t="s">
        <v>129</v>
      </c>
    </row>
    <row r="69" spans="1:11" ht="25.9" customHeight="1" x14ac:dyDescent="0.25">
      <c r="A69" s="3">
        <v>66</v>
      </c>
      <c r="B69" s="3" t="s">
        <v>8</v>
      </c>
      <c r="C69" s="4" t="s">
        <v>9</v>
      </c>
      <c r="D69" s="12">
        <v>46168</v>
      </c>
      <c r="E69" s="14">
        <f t="shared" ref="E69:E132" si="1">D69+365</f>
        <v>46533</v>
      </c>
      <c r="F69" s="22" t="s">
        <v>154</v>
      </c>
      <c r="G69" s="22"/>
      <c r="H69" s="3" t="s">
        <v>155</v>
      </c>
      <c r="I69" s="4" t="s">
        <v>127</v>
      </c>
      <c r="J69" s="4" t="s">
        <v>128</v>
      </c>
      <c r="K69" s="4" t="s">
        <v>129</v>
      </c>
    </row>
    <row r="70" spans="1:11" ht="25.9" customHeight="1" x14ac:dyDescent="0.25">
      <c r="A70" s="3">
        <v>67</v>
      </c>
      <c r="B70" s="3" t="s">
        <v>8</v>
      </c>
      <c r="C70" s="4" t="s">
        <v>9</v>
      </c>
      <c r="D70" s="12">
        <v>46168</v>
      </c>
      <c r="E70" s="14">
        <f t="shared" si="1"/>
        <v>46533</v>
      </c>
      <c r="F70" s="22" t="s">
        <v>156</v>
      </c>
      <c r="G70" s="22"/>
      <c r="H70" s="3" t="s">
        <v>157</v>
      </c>
      <c r="I70" s="4" t="s">
        <v>127</v>
      </c>
      <c r="J70" s="4" t="s">
        <v>128</v>
      </c>
      <c r="K70" s="4" t="s">
        <v>129</v>
      </c>
    </row>
    <row r="71" spans="1:11" ht="25.9" customHeight="1" x14ac:dyDescent="0.25">
      <c r="A71" s="3">
        <v>68</v>
      </c>
      <c r="B71" s="3" t="s">
        <v>8</v>
      </c>
      <c r="C71" s="4" t="s">
        <v>9</v>
      </c>
      <c r="D71" s="12">
        <v>46168</v>
      </c>
      <c r="E71" s="14">
        <f t="shared" si="1"/>
        <v>46533</v>
      </c>
      <c r="F71" s="22" t="s">
        <v>158</v>
      </c>
      <c r="G71" s="22"/>
      <c r="H71" s="3" t="s">
        <v>159</v>
      </c>
      <c r="I71" s="4" t="s">
        <v>127</v>
      </c>
      <c r="J71" s="4" t="s">
        <v>128</v>
      </c>
      <c r="K71" s="4" t="s">
        <v>129</v>
      </c>
    </row>
    <row r="72" spans="1:11" ht="25.9" customHeight="1" x14ac:dyDescent="0.25">
      <c r="A72" s="3">
        <v>69</v>
      </c>
      <c r="B72" s="3" t="s">
        <v>8</v>
      </c>
      <c r="C72" s="4" t="s">
        <v>9</v>
      </c>
      <c r="D72" s="12">
        <v>46168</v>
      </c>
      <c r="E72" s="14">
        <f t="shared" si="1"/>
        <v>46533</v>
      </c>
      <c r="F72" s="22" t="s">
        <v>160</v>
      </c>
      <c r="G72" s="22"/>
      <c r="H72" s="3" t="s">
        <v>161</v>
      </c>
      <c r="I72" s="4" t="s">
        <v>127</v>
      </c>
      <c r="J72" s="4" t="s">
        <v>128</v>
      </c>
      <c r="K72" s="4" t="s">
        <v>129</v>
      </c>
    </row>
    <row r="73" spans="1:11" ht="25.9" customHeight="1" x14ac:dyDescent="0.25">
      <c r="A73" s="3">
        <v>70</v>
      </c>
      <c r="B73" s="3" t="s">
        <v>8</v>
      </c>
      <c r="C73" s="4" t="s">
        <v>9</v>
      </c>
      <c r="D73" s="12">
        <v>46168</v>
      </c>
      <c r="E73" s="14">
        <f t="shared" si="1"/>
        <v>46533</v>
      </c>
      <c r="F73" s="22" t="s">
        <v>162</v>
      </c>
      <c r="G73" s="22"/>
      <c r="H73" s="3" t="s">
        <v>163</v>
      </c>
      <c r="I73" s="4" t="s">
        <v>127</v>
      </c>
      <c r="J73" s="4" t="s">
        <v>128</v>
      </c>
      <c r="K73" s="4" t="s">
        <v>129</v>
      </c>
    </row>
    <row r="74" spans="1:11" ht="25.9" customHeight="1" x14ac:dyDescent="0.25">
      <c r="A74" s="3">
        <v>71</v>
      </c>
      <c r="B74" s="3" t="s">
        <v>8</v>
      </c>
      <c r="C74" s="4" t="s">
        <v>9</v>
      </c>
      <c r="D74" s="12">
        <v>46168</v>
      </c>
      <c r="E74" s="14">
        <f t="shared" si="1"/>
        <v>46533</v>
      </c>
      <c r="F74" s="22" t="s">
        <v>164</v>
      </c>
      <c r="G74" s="22"/>
      <c r="H74" s="3" t="s">
        <v>165</v>
      </c>
      <c r="I74" s="4" t="s">
        <v>28</v>
      </c>
      <c r="J74" s="4" t="s">
        <v>29</v>
      </c>
      <c r="K74" s="4" t="s">
        <v>30</v>
      </c>
    </row>
    <row r="75" spans="1:11" s="19" customFormat="1" ht="25.9" customHeight="1" x14ac:dyDescent="0.25">
      <c r="A75" s="16">
        <v>72</v>
      </c>
      <c r="B75" s="16" t="s">
        <v>8</v>
      </c>
      <c r="C75" s="15" t="s">
        <v>9</v>
      </c>
      <c r="D75" s="17">
        <v>46168</v>
      </c>
      <c r="E75" s="18">
        <f t="shared" si="1"/>
        <v>46533</v>
      </c>
      <c r="F75" s="22" t="s">
        <v>166</v>
      </c>
      <c r="G75" s="22"/>
      <c r="H75" s="16" t="s">
        <v>167</v>
      </c>
      <c r="I75" s="15" t="s">
        <v>23</v>
      </c>
      <c r="J75" s="15" t="s">
        <v>24</v>
      </c>
      <c r="K75" s="15" t="s">
        <v>25</v>
      </c>
    </row>
    <row r="76" spans="1:11" ht="25.9" customHeight="1" x14ac:dyDescent="0.25">
      <c r="A76" s="3">
        <v>73</v>
      </c>
      <c r="B76" s="3" t="s">
        <v>8</v>
      </c>
      <c r="C76" s="4" t="s">
        <v>9</v>
      </c>
      <c r="D76" s="12">
        <v>46168</v>
      </c>
      <c r="E76" s="14">
        <f t="shared" si="1"/>
        <v>46533</v>
      </c>
      <c r="F76" s="22" t="s">
        <v>168</v>
      </c>
      <c r="G76" s="22"/>
      <c r="H76" s="3" t="s">
        <v>169</v>
      </c>
      <c r="I76" s="4" t="s">
        <v>23</v>
      </c>
      <c r="J76" s="4" t="s">
        <v>24</v>
      </c>
      <c r="K76" s="4" t="s">
        <v>25</v>
      </c>
    </row>
    <row r="77" spans="1:11" ht="25.9" customHeight="1" x14ac:dyDescent="0.25">
      <c r="A77" s="3">
        <v>74</v>
      </c>
      <c r="B77" s="3" t="s">
        <v>8</v>
      </c>
      <c r="C77" s="4" t="s">
        <v>9</v>
      </c>
      <c r="D77" s="12">
        <v>46168</v>
      </c>
      <c r="E77" s="14">
        <f t="shared" si="1"/>
        <v>46533</v>
      </c>
      <c r="F77" s="22" t="s">
        <v>170</v>
      </c>
      <c r="G77" s="22"/>
      <c r="H77" s="3" t="s">
        <v>171</v>
      </c>
      <c r="I77" s="4" t="s">
        <v>23</v>
      </c>
      <c r="J77" s="4" t="s">
        <v>24</v>
      </c>
      <c r="K77" s="4" t="s">
        <v>25</v>
      </c>
    </row>
    <row r="78" spans="1:11" ht="25.9" customHeight="1" x14ac:dyDescent="0.25">
      <c r="A78" s="3">
        <v>75</v>
      </c>
      <c r="B78" s="3" t="s">
        <v>8</v>
      </c>
      <c r="C78" s="4" t="s">
        <v>9</v>
      </c>
      <c r="D78" s="12">
        <v>46168</v>
      </c>
      <c r="E78" s="14">
        <f t="shared" si="1"/>
        <v>46533</v>
      </c>
      <c r="F78" s="22" t="s">
        <v>172</v>
      </c>
      <c r="G78" s="22"/>
      <c r="H78" s="3" t="s">
        <v>173</v>
      </c>
      <c r="I78" s="4" t="s">
        <v>23</v>
      </c>
      <c r="J78" s="4" t="s">
        <v>24</v>
      </c>
      <c r="K78" s="4" t="s">
        <v>25</v>
      </c>
    </row>
    <row r="79" spans="1:11" ht="25.9" customHeight="1" x14ac:dyDescent="0.25">
      <c r="A79" s="3">
        <v>76</v>
      </c>
      <c r="B79" s="3" t="s">
        <v>8</v>
      </c>
      <c r="C79" s="4" t="s">
        <v>9</v>
      </c>
      <c r="D79" s="12">
        <v>46168</v>
      </c>
      <c r="E79" s="14">
        <f t="shared" si="1"/>
        <v>46533</v>
      </c>
      <c r="F79" s="22" t="s">
        <v>174</v>
      </c>
      <c r="G79" s="22"/>
      <c r="H79" s="3" t="s">
        <v>175</v>
      </c>
      <c r="I79" s="4" t="s">
        <v>23</v>
      </c>
      <c r="J79" s="4" t="s">
        <v>24</v>
      </c>
      <c r="K79" s="4" t="s">
        <v>25</v>
      </c>
    </row>
    <row r="80" spans="1:11" ht="25.9" customHeight="1" x14ac:dyDescent="0.25">
      <c r="A80" s="3">
        <v>77</v>
      </c>
      <c r="B80" s="3" t="s">
        <v>8</v>
      </c>
      <c r="C80" s="4" t="s">
        <v>9</v>
      </c>
      <c r="D80" s="12">
        <v>46168</v>
      </c>
      <c r="E80" s="14">
        <f t="shared" si="1"/>
        <v>46533</v>
      </c>
      <c r="F80" s="22" t="s">
        <v>176</v>
      </c>
      <c r="G80" s="22"/>
      <c r="H80" s="3" t="s">
        <v>177</v>
      </c>
      <c r="I80" s="4" t="s">
        <v>23</v>
      </c>
      <c r="J80" s="4" t="s">
        <v>24</v>
      </c>
      <c r="K80" s="4" t="s">
        <v>25</v>
      </c>
    </row>
    <row r="81" spans="1:11" ht="25.9" customHeight="1" x14ac:dyDescent="0.25">
      <c r="A81" s="3">
        <v>78</v>
      </c>
      <c r="B81" s="3" t="s">
        <v>8</v>
      </c>
      <c r="C81" s="4" t="s">
        <v>9</v>
      </c>
      <c r="D81" s="12">
        <v>46168</v>
      </c>
      <c r="E81" s="14">
        <f t="shared" si="1"/>
        <v>46533</v>
      </c>
      <c r="F81" s="22" t="s">
        <v>178</v>
      </c>
      <c r="G81" s="22"/>
      <c r="H81" s="3" t="s">
        <v>179</v>
      </c>
      <c r="I81" s="4" t="s">
        <v>23</v>
      </c>
      <c r="J81" s="4" t="s">
        <v>24</v>
      </c>
      <c r="K81" s="4" t="s">
        <v>25</v>
      </c>
    </row>
    <row r="82" spans="1:11" ht="25.9" customHeight="1" x14ac:dyDescent="0.25">
      <c r="A82" s="3">
        <v>79</v>
      </c>
      <c r="B82" s="3" t="s">
        <v>8</v>
      </c>
      <c r="C82" s="4" t="s">
        <v>9</v>
      </c>
      <c r="D82" s="12">
        <v>46168</v>
      </c>
      <c r="E82" s="14">
        <f t="shared" si="1"/>
        <v>46533</v>
      </c>
      <c r="F82" s="22" t="s">
        <v>180</v>
      </c>
      <c r="G82" s="22"/>
      <c r="H82" s="3" t="s">
        <v>181</v>
      </c>
      <c r="I82" s="4" t="s">
        <v>23</v>
      </c>
      <c r="J82" s="4" t="s">
        <v>24</v>
      </c>
      <c r="K82" s="4" t="s">
        <v>25</v>
      </c>
    </row>
    <row r="83" spans="1:11" ht="25.9" customHeight="1" x14ac:dyDescent="0.25">
      <c r="A83" s="3">
        <v>80</v>
      </c>
      <c r="B83" s="3" t="s">
        <v>8</v>
      </c>
      <c r="C83" s="4" t="s">
        <v>9</v>
      </c>
      <c r="D83" s="12">
        <v>46168</v>
      </c>
      <c r="E83" s="14">
        <f t="shared" si="1"/>
        <v>46533</v>
      </c>
      <c r="F83" s="22" t="s">
        <v>182</v>
      </c>
      <c r="G83" s="22"/>
      <c r="H83" s="3" t="s">
        <v>183</v>
      </c>
      <c r="I83" s="4" t="s">
        <v>23</v>
      </c>
      <c r="J83" s="4" t="s">
        <v>24</v>
      </c>
      <c r="K83" s="4" t="s">
        <v>25</v>
      </c>
    </row>
    <row r="84" spans="1:11" ht="25.9" customHeight="1" x14ac:dyDescent="0.25">
      <c r="A84" s="3">
        <v>81</v>
      </c>
      <c r="B84" s="3" t="s">
        <v>8</v>
      </c>
      <c r="C84" s="4" t="s">
        <v>9</v>
      </c>
      <c r="D84" s="12">
        <v>46168</v>
      </c>
      <c r="E84" s="14">
        <f t="shared" si="1"/>
        <v>46533</v>
      </c>
      <c r="F84" s="22" t="s">
        <v>184</v>
      </c>
      <c r="G84" s="22"/>
      <c r="H84" s="3" t="s">
        <v>185</v>
      </c>
      <c r="I84" s="4" t="s">
        <v>23</v>
      </c>
      <c r="J84" s="4" t="s">
        <v>24</v>
      </c>
      <c r="K84" s="4" t="s">
        <v>25</v>
      </c>
    </row>
    <row r="85" spans="1:11" ht="25.9" customHeight="1" x14ac:dyDescent="0.25">
      <c r="A85" s="3">
        <v>82</v>
      </c>
      <c r="B85" s="3" t="s">
        <v>8</v>
      </c>
      <c r="C85" s="4" t="s">
        <v>9</v>
      </c>
      <c r="D85" s="12">
        <v>46168</v>
      </c>
      <c r="E85" s="14">
        <f t="shared" si="1"/>
        <v>46533</v>
      </c>
      <c r="F85" s="22" t="s">
        <v>186</v>
      </c>
      <c r="G85" s="22"/>
      <c r="H85" s="3" t="s">
        <v>187</v>
      </c>
      <c r="I85" s="4" t="s">
        <v>23</v>
      </c>
      <c r="J85" s="4" t="s">
        <v>24</v>
      </c>
      <c r="K85" s="4" t="s">
        <v>25</v>
      </c>
    </row>
    <row r="86" spans="1:11" ht="25.9" customHeight="1" x14ac:dyDescent="0.25">
      <c r="A86" s="3">
        <v>83</v>
      </c>
      <c r="B86" s="3" t="s">
        <v>8</v>
      </c>
      <c r="C86" s="4" t="s">
        <v>9</v>
      </c>
      <c r="D86" s="12">
        <v>46168</v>
      </c>
      <c r="E86" s="14">
        <f t="shared" si="1"/>
        <v>46533</v>
      </c>
      <c r="F86" s="22" t="s">
        <v>188</v>
      </c>
      <c r="G86" s="22"/>
      <c r="H86" s="3" t="s">
        <v>189</v>
      </c>
      <c r="I86" s="4" t="s">
        <v>23</v>
      </c>
      <c r="J86" s="4" t="s">
        <v>24</v>
      </c>
      <c r="K86" s="4" t="s">
        <v>25</v>
      </c>
    </row>
    <row r="87" spans="1:11" ht="25.9" customHeight="1" x14ac:dyDescent="0.25">
      <c r="A87" s="3">
        <v>84</v>
      </c>
      <c r="B87" s="3" t="s">
        <v>8</v>
      </c>
      <c r="C87" s="4" t="s">
        <v>9</v>
      </c>
      <c r="D87" s="12">
        <v>46168</v>
      </c>
      <c r="E87" s="14">
        <f t="shared" si="1"/>
        <v>46533</v>
      </c>
      <c r="F87" s="22" t="s">
        <v>190</v>
      </c>
      <c r="G87" s="22"/>
      <c r="H87" s="3" t="s">
        <v>191</v>
      </c>
      <c r="I87" s="4" t="s">
        <v>23</v>
      </c>
      <c r="J87" s="4" t="s">
        <v>24</v>
      </c>
      <c r="K87" s="4" t="s">
        <v>25</v>
      </c>
    </row>
    <row r="88" spans="1:11" ht="25.9" customHeight="1" x14ac:dyDescent="0.25">
      <c r="A88" s="3">
        <v>85</v>
      </c>
      <c r="B88" s="3" t="s">
        <v>8</v>
      </c>
      <c r="C88" s="4" t="s">
        <v>9</v>
      </c>
      <c r="D88" s="12">
        <v>46168</v>
      </c>
      <c r="E88" s="14">
        <f t="shared" si="1"/>
        <v>46533</v>
      </c>
      <c r="F88" s="22" t="s">
        <v>192</v>
      </c>
      <c r="G88" s="22"/>
      <c r="H88" s="3" t="s">
        <v>193</v>
      </c>
      <c r="I88" s="4" t="s">
        <v>127</v>
      </c>
      <c r="J88" s="4" t="s">
        <v>128</v>
      </c>
      <c r="K88" s="4" t="s">
        <v>129</v>
      </c>
    </row>
    <row r="89" spans="1:11" ht="25.9" customHeight="1" x14ac:dyDescent="0.25">
      <c r="A89" s="3">
        <v>86</v>
      </c>
      <c r="B89" s="3" t="s">
        <v>8</v>
      </c>
      <c r="C89" s="4" t="s">
        <v>9</v>
      </c>
      <c r="D89" s="12">
        <v>46168</v>
      </c>
      <c r="E89" s="14">
        <f t="shared" si="1"/>
        <v>46533</v>
      </c>
      <c r="F89" s="22" t="s">
        <v>194</v>
      </c>
      <c r="G89" s="22"/>
      <c r="H89" s="3" t="s">
        <v>195</v>
      </c>
      <c r="I89" s="4" t="s">
        <v>196</v>
      </c>
      <c r="J89" s="4" t="s">
        <v>197</v>
      </c>
      <c r="K89" s="4" t="s">
        <v>198</v>
      </c>
    </row>
    <row r="90" spans="1:11" ht="25.9" customHeight="1" x14ac:dyDescent="0.25">
      <c r="A90" s="3">
        <v>87</v>
      </c>
      <c r="B90" s="3" t="s">
        <v>8</v>
      </c>
      <c r="C90" s="4" t="s">
        <v>9</v>
      </c>
      <c r="D90" s="12">
        <v>46168</v>
      </c>
      <c r="E90" s="14">
        <f t="shared" si="1"/>
        <v>46533</v>
      </c>
      <c r="F90" s="22" t="s">
        <v>199</v>
      </c>
      <c r="G90" s="22"/>
      <c r="H90" s="3" t="s">
        <v>200</v>
      </c>
      <c r="I90" s="4" t="s">
        <v>196</v>
      </c>
      <c r="J90" s="4" t="s">
        <v>197</v>
      </c>
      <c r="K90" s="4" t="s">
        <v>198</v>
      </c>
    </row>
    <row r="91" spans="1:11" ht="25.9" customHeight="1" x14ac:dyDescent="0.25">
      <c r="A91" s="3">
        <v>88</v>
      </c>
      <c r="B91" s="3" t="s">
        <v>8</v>
      </c>
      <c r="C91" s="4" t="s">
        <v>9</v>
      </c>
      <c r="D91" s="12">
        <v>46168</v>
      </c>
      <c r="E91" s="14">
        <f t="shared" si="1"/>
        <v>46533</v>
      </c>
      <c r="F91" s="22" t="s">
        <v>201</v>
      </c>
      <c r="G91" s="22"/>
      <c r="H91" s="3" t="s">
        <v>202</v>
      </c>
      <c r="I91" s="4" t="s">
        <v>196</v>
      </c>
      <c r="J91" s="4" t="s">
        <v>197</v>
      </c>
      <c r="K91" s="4" t="s">
        <v>198</v>
      </c>
    </row>
    <row r="92" spans="1:11" ht="25.9" customHeight="1" x14ac:dyDescent="0.25">
      <c r="A92" s="3">
        <v>89</v>
      </c>
      <c r="B92" s="3" t="s">
        <v>8</v>
      </c>
      <c r="C92" s="4" t="s">
        <v>9</v>
      </c>
      <c r="D92" s="12">
        <v>46168</v>
      </c>
      <c r="E92" s="14">
        <f t="shared" si="1"/>
        <v>46533</v>
      </c>
      <c r="F92" s="22" t="s">
        <v>203</v>
      </c>
      <c r="G92" s="22"/>
      <c r="H92" s="3" t="s">
        <v>204</v>
      </c>
      <c r="I92" s="4" t="s">
        <v>196</v>
      </c>
      <c r="J92" s="4" t="s">
        <v>197</v>
      </c>
      <c r="K92" s="4" t="s">
        <v>198</v>
      </c>
    </row>
    <row r="93" spans="1:11" ht="25.9" customHeight="1" x14ac:dyDescent="0.25">
      <c r="A93" s="3">
        <v>90</v>
      </c>
      <c r="B93" s="3" t="s">
        <v>8</v>
      </c>
      <c r="C93" s="4" t="s">
        <v>9</v>
      </c>
      <c r="D93" s="12">
        <v>46168</v>
      </c>
      <c r="E93" s="14">
        <f t="shared" si="1"/>
        <v>46533</v>
      </c>
      <c r="F93" s="22" t="s">
        <v>205</v>
      </c>
      <c r="G93" s="22"/>
      <c r="H93" s="3" t="s">
        <v>206</v>
      </c>
      <c r="I93" s="4" t="s">
        <v>28</v>
      </c>
      <c r="J93" s="4" t="s">
        <v>29</v>
      </c>
      <c r="K93" s="4" t="s">
        <v>30</v>
      </c>
    </row>
    <row r="94" spans="1:11" ht="25.9" customHeight="1" x14ac:dyDescent="0.25">
      <c r="A94" s="3">
        <v>91</v>
      </c>
      <c r="B94" s="3" t="s">
        <v>8</v>
      </c>
      <c r="C94" s="4" t="s">
        <v>9</v>
      </c>
      <c r="D94" s="12">
        <v>46168</v>
      </c>
      <c r="E94" s="14">
        <f t="shared" si="1"/>
        <v>46533</v>
      </c>
      <c r="F94" s="22" t="s">
        <v>207</v>
      </c>
      <c r="G94" s="22"/>
      <c r="H94" s="3" t="s">
        <v>208</v>
      </c>
      <c r="I94" s="4" t="s">
        <v>196</v>
      </c>
      <c r="J94" s="4" t="s">
        <v>197</v>
      </c>
      <c r="K94" s="4" t="s">
        <v>198</v>
      </c>
    </row>
    <row r="95" spans="1:11" ht="25.9" customHeight="1" x14ac:dyDescent="0.25">
      <c r="A95" s="3">
        <v>92</v>
      </c>
      <c r="B95" s="3" t="s">
        <v>8</v>
      </c>
      <c r="C95" s="4" t="s">
        <v>9</v>
      </c>
      <c r="D95" s="12">
        <v>46168</v>
      </c>
      <c r="E95" s="14">
        <f t="shared" si="1"/>
        <v>46533</v>
      </c>
      <c r="F95" s="22" t="s">
        <v>209</v>
      </c>
      <c r="G95" s="22"/>
      <c r="H95" s="3" t="s">
        <v>210</v>
      </c>
      <c r="I95" s="4" t="s">
        <v>196</v>
      </c>
      <c r="J95" s="4" t="s">
        <v>197</v>
      </c>
      <c r="K95" s="4" t="s">
        <v>198</v>
      </c>
    </row>
    <row r="96" spans="1:11" ht="25.9" customHeight="1" x14ac:dyDescent="0.25">
      <c r="A96" s="3">
        <v>93</v>
      </c>
      <c r="B96" s="3" t="s">
        <v>8</v>
      </c>
      <c r="C96" s="4" t="s">
        <v>9</v>
      </c>
      <c r="D96" s="12">
        <v>46168</v>
      </c>
      <c r="E96" s="14">
        <f t="shared" si="1"/>
        <v>46533</v>
      </c>
      <c r="F96" s="22" t="s">
        <v>211</v>
      </c>
      <c r="G96" s="22"/>
      <c r="H96" s="3" t="s">
        <v>212</v>
      </c>
      <c r="I96" s="4" t="s">
        <v>196</v>
      </c>
      <c r="J96" s="4" t="s">
        <v>197</v>
      </c>
      <c r="K96" s="4" t="s">
        <v>198</v>
      </c>
    </row>
    <row r="97" spans="1:11" ht="25.9" customHeight="1" x14ac:dyDescent="0.25">
      <c r="A97" s="3">
        <v>94</v>
      </c>
      <c r="B97" s="3" t="s">
        <v>8</v>
      </c>
      <c r="C97" s="4" t="s">
        <v>9</v>
      </c>
      <c r="D97" s="12">
        <v>46168</v>
      </c>
      <c r="E97" s="14">
        <f t="shared" si="1"/>
        <v>46533</v>
      </c>
      <c r="F97" s="22" t="s">
        <v>213</v>
      </c>
      <c r="G97" s="22"/>
      <c r="H97" s="3" t="s">
        <v>214</v>
      </c>
      <c r="I97" s="4" t="s">
        <v>196</v>
      </c>
      <c r="J97" s="4" t="s">
        <v>197</v>
      </c>
      <c r="K97" s="4" t="s">
        <v>198</v>
      </c>
    </row>
    <row r="98" spans="1:11" ht="25.9" customHeight="1" x14ac:dyDescent="0.25">
      <c r="A98" s="3">
        <v>95</v>
      </c>
      <c r="B98" s="3" t="s">
        <v>8</v>
      </c>
      <c r="C98" s="4" t="s">
        <v>9</v>
      </c>
      <c r="D98" s="12">
        <v>46168</v>
      </c>
      <c r="E98" s="14">
        <f t="shared" si="1"/>
        <v>46533</v>
      </c>
      <c r="F98" s="22" t="s">
        <v>215</v>
      </c>
      <c r="G98" s="22"/>
      <c r="H98" s="3" t="s">
        <v>216</v>
      </c>
      <c r="I98" s="4" t="s">
        <v>196</v>
      </c>
      <c r="J98" s="4" t="s">
        <v>197</v>
      </c>
      <c r="K98" s="4" t="s">
        <v>198</v>
      </c>
    </row>
    <row r="99" spans="1:11" ht="25.9" customHeight="1" x14ac:dyDescent="0.25">
      <c r="A99" s="3">
        <v>96</v>
      </c>
      <c r="B99" s="3" t="s">
        <v>8</v>
      </c>
      <c r="C99" s="4" t="s">
        <v>9</v>
      </c>
      <c r="D99" s="12">
        <v>46168</v>
      </c>
      <c r="E99" s="14">
        <f t="shared" si="1"/>
        <v>46533</v>
      </c>
      <c r="F99" s="22" t="s">
        <v>217</v>
      </c>
      <c r="G99" s="22"/>
      <c r="H99" s="3" t="s">
        <v>218</v>
      </c>
      <c r="I99" s="4" t="s">
        <v>23</v>
      </c>
      <c r="J99" s="4" t="s">
        <v>24</v>
      </c>
      <c r="K99" s="4" t="s">
        <v>25</v>
      </c>
    </row>
    <row r="100" spans="1:11" ht="25.9" customHeight="1" x14ac:dyDescent="0.25">
      <c r="A100" s="3">
        <v>97</v>
      </c>
      <c r="B100" s="3" t="s">
        <v>8</v>
      </c>
      <c r="C100" s="4" t="s">
        <v>9</v>
      </c>
      <c r="D100" s="12">
        <v>46168</v>
      </c>
      <c r="E100" s="14">
        <f t="shared" si="1"/>
        <v>46533</v>
      </c>
      <c r="F100" s="22" t="s">
        <v>219</v>
      </c>
      <c r="G100" s="22"/>
      <c r="H100" s="3" t="s">
        <v>220</v>
      </c>
      <c r="I100" s="4" t="s">
        <v>23</v>
      </c>
      <c r="J100" s="4" t="s">
        <v>24</v>
      </c>
      <c r="K100" s="4" t="s">
        <v>25</v>
      </c>
    </row>
    <row r="101" spans="1:11" ht="25.9" customHeight="1" x14ac:dyDescent="0.25">
      <c r="A101" s="3">
        <v>98</v>
      </c>
      <c r="B101" s="3" t="s">
        <v>8</v>
      </c>
      <c r="C101" s="4" t="s">
        <v>9</v>
      </c>
      <c r="D101" s="12">
        <v>46168</v>
      </c>
      <c r="E101" s="14">
        <f t="shared" si="1"/>
        <v>46533</v>
      </c>
      <c r="F101" s="22" t="s">
        <v>221</v>
      </c>
      <c r="G101" s="22"/>
      <c r="H101" s="3" t="s">
        <v>222</v>
      </c>
      <c r="I101" s="4" t="s">
        <v>223</v>
      </c>
      <c r="J101" s="4" t="s">
        <v>224</v>
      </c>
      <c r="K101" s="4" t="s">
        <v>225</v>
      </c>
    </row>
    <row r="102" spans="1:11" ht="25.9" customHeight="1" x14ac:dyDescent="0.25">
      <c r="A102" s="3">
        <v>99</v>
      </c>
      <c r="B102" s="3" t="s">
        <v>8</v>
      </c>
      <c r="C102" s="4" t="s">
        <v>9</v>
      </c>
      <c r="D102" s="12">
        <v>46168</v>
      </c>
      <c r="E102" s="14">
        <f t="shared" si="1"/>
        <v>46533</v>
      </c>
      <c r="F102" s="22" t="s">
        <v>226</v>
      </c>
      <c r="G102" s="22"/>
      <c r="H102" s="3" t="s">
        <v>227</v>
      </c>
      <c r="I102" s="4" t="s">
        <v>23</v>
      </c>
      <c r="J102" s="4" t="s">
        <v>24</v>
      </c>
      <c r="K102" s="4" t="s">
        <v>25</v>
      </c>
    </row>
    <row r="103" spans="1:11" ht="25.9" customHeight="1" x14ac:dyDescent="0.25">
      <c r="A103" s="3">
        <v>100</v>
      </c>
      <c r="B103" s="3" t="s">
        <v>8</v>
      </c>
      <c r="C103" s="4" t="s">
        <v>9</v>
      </c>
      <c r="D103" s="12">
        <v>46168</v>
      </c>
      <c r="E103" s="14">
        <f t="shared" si="1"/>
        <v>46533</v>
      </c>
      <c r="F103" s="22" t="s">
        <v>228</v>
      </c>
      <c r="G103" s="22"/>
      <c r="H103" s="3" t="s">
        <v>229</v>
      </c>
      <c r="I103" s="4" t="s">
        <v>127</v>
      </c>
      <c r="J103" s="4" t="s">
        <v>128</v>
      </c>
      <c r="K103" s="4" t="s">
        <v>129</v>
      </c>
    </row>
    <row r="104" spans="1:11" ht="25.9" customHeight="1" x14ac:dyDescent="0.25">
      <c r="A104" s="3">
        <v>101</v>
      </c>
      <c r="B104" s="3" t="s">
        <v>8</v>
      </c>
      <c r="C104" s="4" t="s">
        <v>9</v>
      </c>
      <c r="D104" s="12">
        <v>46168</v>
      </c>
      <c r="E104" s="14">
        <f t="shared" si="1"/>
        <v>46533</v>
      </c>
      <c r="F104" s="22" t="s">
        <v>230</v>
      </c>
      <c r="G104" s="22"/>
      <c r="H104" s="3" t="s">
        <v>231</v>
      </c>
      <c r="I104" s="4" t="s">
        <v>223</v>
      </c>
      <c r="J104" s="4" t="s">
        <v>224</v>
      </c>
      <c r="K104" s="4" t="s">
        <v>225</v>
      </c>
    </row>
    <row r="105" spans="1:11" ht="25.9" customHeight="1" x14ac:dyDescent="0.25">
      <c r="A105" s="3">
        <v>102</v>
      </c>
      <c r="B105" s="3" t="s">
        <v>8</v>
      </c>
      <c r="C105" s="4" t="s">
        <v>9</v>
      </c>
      <c r="D105" s="12">
        <v>46168</v>
      </c>
      <c r="E105" s="14">
        <f t="shared" si="1"/>
        <v>46533</v>
      </c>
      <c r="F105" s="22" t="s">
        <v>232</v>
      </c>
      <c r="G105" s="22"/>
      <c r="H105" s="3" t="s">
        <v>233</v>
      </c>
      <c r="I105" s="4" t="s">
        <v>223</v>
      </c>
      <c r="J105" s="4" t="s">
        <v>224</v>
      </c>
      <c r="K105" s="4" t="s">
        <v>225</v>
      </c>
    </row>
    <row r="106" spans="1:11" ht="25.9" customHeight="1" x14ac:dyDescent="0.25">
      <c r="A106" s="3">
        <v>103</v>
      </c>
      <c r="B106" s="3" t="s">
        <v>8</v>
      </c>
      <c r="C106" s="4" t="s">
        <v>9</v>
      </c>
      <c r="D106" s="12">
        <v>46168</v>
      </c>
      <c r="E106" s="14">
        <f t="shared" si="1"/>
        <v>46533</v>
      </c>
      <c r="F106" s="22" t="s">
        <v>234</v>
      </c>
      <c r="G106" s="22"/>
      <c r="H106" s="3" t="s">
        <v>235</v>
      </c>
      <c r="I106" s="4" t="s">
        <v>236</v>
      </c>
      <c r="J106" s="4" t="s">
        <v>237</v>
      </c>
      <c r="K106" s="4" t="s">
        <v>238</v>
      </c>
    </row>
    <row r="107" spans="1:11" ht="25.9" customHeight="1" x14ac:dyDescent="0.25">
      <c r="A107" s="3">
        <v>104</v>
      </c>
      <c r="B107" s="3" t="s">
        <v>8</v>
      </c>
      <c r="C107" s="4" t="s">
        <v>9</v>
      </c>
      <c r="D107" s="12">
        <v>46168</v>
      </c>
      <c r="E107" s="14">
        <f t="shared" si="1"/>
        <v>46533</v>
      </c>
      <c r="F107" s="22" t="s">
        <v>239</v>
      </c>
      <c r="G107" s="22"/>
      <c r="H107" s="3" t="s">
        <v>240</v>
      </c>
      <c r="I107" s="4" t="s">
        <v>236</v>
      </c>
      <c r="J107" s="4" t="s">
        <v>237</v>
      </c>
      <c r="K107" s="4" t="s">
        <v>238</v>
      </c>
    </row>
    <row r="108" spans="1:11" ht="25.9" customHeight="1" x14ac:dyDescent="0.25">
      <c r="A108" s="3">
        <v>105</v>
      </c>
      <c r="B108" s="3" t="s">
        <v>8</v>
      </c>
      <c r="C108" s="4" t="s">
        <v>9</v>
      </c>
      <c r="D108" s="12">
        <v>46168</v>
      </c>
      <c r="E108" s="14">
        <f t="shared" si="1"/>
        <v>46533</v>
      </c>
      <c r="F108" s="22" t="s">
        <v>241</v>
      </c>
      <c r="G108" s="22"/>
      <c r="H108" s="3" t="s">
        <v>242</v>
      </c>
      <c r="I108" s="4" t="s">
        <v>236</v>
      </c>
      <c r="J108" s="4" t="s">
        <v>237</v>
      </c>
      <c r="K108" s="4" t="s">
        <v>238</v>
      </c>
    </row>
    <row r="109" spans="1:11" ht="25.9" customHeight="1" x14ac:dyDescent="0.25">
      <c r="A109" s="3">
        <v>106</v>
      </c>
      <c r="B109" s="3" t="s">
        <v>8</v>
      </c>
      <c r="C109" s="4" t="s">
        <v>9</v>
      </c>
      <c r="D109" s="12">
        <v>46168</v>
      </c>
      <c r="E109" s="14">
        <f t="shared" si="1"/>
        <v>46533</v>
      </c>
      <c r="F109" s="22" t="s">
        <v>243</v>
      </c>
      <c r="G109" s="22"/>
      <c r="H109" s="3" t="s">
        <v>244</v>
      </c>
      <c r="I109" s="4" t="s">
        <v>236</v>
      </c>
      <c r="J109" s="4" t="s">
        <v>237</v>
      </c>
      <c r="K109" s="4" t="s">
        <v>238</v>
      </c>
    </row>
    <row r="110" spans="1:11" ht="25.9" customHeight="1" x14ac:dyDescent="0.25">
      <c r="A110" s="3">
        <v>107</v>
      </c>
      <c r="B110" s="3" t="s">
        <v>8</v>
      </c>
      <c r="C110" s="4" t="s">
        <v>9</v>
      </c>
      <c r="D110" s="12">
        <v>46168</v>
      </c>
      <c r="E110" s="14">
        <f t="shared" si="1"/>
        <v>46533</v>
      </c>
      <c r="F110" s="22" t="s">
        <v>245</v>
      </c>
      <c r="G110" s="22"/>
      <c r="H110" s="3" t="s">
        <v>246</v>
      </c>
      <c r="I110" s="4" t="s">
        <v>236</v>
      </c>
      <c r="J110" s="4" t="s">
        <v>237</v>
      </c>
      <c r="K110" s="4" t="s">
        <v>238</v>
      </c>
    </row>
    <row r="111" spans="1:11" ht="25.9" customHeight="1" x14ac:dyDescent="0.25">
      <c r="A111" s="3">
        <v>108</v>
      </c>
      <c r="B111" s="3" t="s">
        <v>8</v>
      </c>
      <c r="C111" s="4" t="s">
        <v>9</v>
      </c>
      <c r="D111" s="12">
        <v>46168</v>
      </c>
      <c r="E111" s="14">
        <f t="shared" si="1"/>
        <v>46533</v>
      </c>
      <c r="F111" s="22" t="s">
        <v>247</v>
      </c>
      <c r="G111" s="22"/>
      <c r="H111" s="3" t="s">
        <v>248</v>
      </c>
      <c r="I111" s="4" t="s">
        <v>23</v>
      </c>
      <c r="J111" s="4" t="s">
        <v>24</v>
      </c>
      <c r="K111" s="4" t="s">
        <v>25</v>
      </c>
    </row>
    <row r="112" spans="1:11" ht="25.9" customHeight="1" x14ac:dyDescent="0.25">
      <c r="A112" s="3">
        <v>109</v>
      </c>
      <c r="B112" s="3" t="s">
        <v>8</v>
      </c>
      <c r="C112" s="4" t="s">
        <v>9</v>
      </c>
      <c r="D112" s="12">
        <v>46168</v>
      </c>
      <c r="E112" s="14">
        <f t="shared" si="1"/>
        <v>46533</v>
      </c>
      <c r="F112" s="22" t="s">
        <v>249</v>
      </c>
      <c r="G112" s="22"/>
      <c r="H112" s="3" t="s">
        <v>250</v>
      </c>
      <c r="I112" s="4" t="s">
        <v>236</v>
      </c>
      <c r="J112" s="4" t="s">
        <v>237</v>
      </c>
      <c r="K112" s="4" t="s">
        <v>238</v>
      </c>
    </row>
    <row r="113" spans="1:11" ht="25.9" customHeight="1" x14ac:dyDescent="0.25">
      <c r="A113" s="3">
        <v>110</v>
      </c>
      <c r="B113" s="3" t="s">
        <v>8</v>
      </c>
      <c r="C113" s="4" t="s">
        <v>9</v>
      </c>
      <c r="D113" s="12">
        <v>46168</v>
      </c>
      <c r="E113" s="14">
        <f t="shared" si="1"/>
        <v>46533</v>
      </c>
      <c r="F113" s="22" t="s">
        <v>251</v>
      </c>
      <c r="G113" s="22"/>
      <c r="H113" s="3" t="s">
        <v>252</v>
      </c>
      <c r="I113" s="4" t="s">
        <v>236</v>
      </c>
      <c r="J113" s="4" t="s">
        <v>237</v>
      </c>
      <c r="K113" s="4" t="s">
        <v>238</v>
      </c>
    </row>
    <row r="114" spans="1:11" ht="25.9" customHeight="1" x14ac:dyDescent="0.25">
      <c r="A114" s="3">
        <v>111</v>
      </c>
      <c r="B114" s="3" t="s">
        <v>8</v>
      </c>
      <c r="C114" s="4" t="s">
        <v>9</v>
      </c>
      <c r="D114" s="12">
        <v>46168</v>
      </c>
      <c r="E114" s="14">
        <f t="shared" si="1"/>
        <v>46533</v>
      </c>
      <c r="F114" s="22" t="s">
        <v>253</v>
      </c>
      <c r="G114" s="22"/>
      <c r="H114" s="3" t="s">
        <v>254</v>
      </c>
      <c r="I114" s="4" t="s">
        <v>236</v>
      </c>
      <c r="J114" s="4" t="s">
        <v>237</v>
      </c>
      <c r="K114" s="4" t="s">
        <v>238</v>
      </c>
    </row>
    <row r="115" spans="1:11" ht="25.9" customHeight="1" x14ac:dyDescent="0.25">
      <c r="A115" s="3">
        <v>112</v>
      </c>
      <c r="B115" s="3" t="s">
        <v>8</v>
      </c>
      <c r="C115" s="4" t="s">
        <v>9</v>
      </c>
      <c r="D115" s="12">
        <v>46168</v>
      </c>
      <c r="E115" s="14">
        <f t="shared" si="1"/>
        <v>46533</v>
      </c>
      <c r="F115" s="22" t="s">
        <v>255</v>
      </c>
      <c r="G115" s="22"/>
      <c r="H115" s="3" t="s">
        <v>256</v>
      </c>
      <c r="I115" s="4" t="s">
        <v>28</v>
      </c>
      <c r="J115" s="4" t="s">
        <v>29</v>
      </c>
      <c r="K115" s="4" t="s">
        <v>30</v>
      </c>
    </row>
    <row r="116" spans="1:11" ht="25.9" customHeight="1" x14ac:dyDescent="0.25">
      <c r="A116" s="3">
        <v>113</v>
      </c>
      <c r="B116" s="3" t="s">
        <v>8</v>
      </c>
      <c r="C116" s="4" t="s">
        <v>9</v>
      </c>
      <c r="D116" s="12">
        <v>46168</v>
      </c>
      <c r="E116" s="14">
        <f t="shared" si="1"/>
        <v>46533</v>
      </c>
      <c r="F116" s="22" t="s">
        <v>257</v>
      </c>
      <c r="G116" s="22"/>
      <c r="H116" s="3" t="s">
        <v>258</v>
      </c>
      <c r="I116" s="4" t="s">
        <v>28</v>
      </c>
      <c r="J116" s="4" t="s">
        <v>29</v>
      </c>
      <c r="K116" s="4" t="s">
        <v>30</v>
      </c>
    </row>
    <row r="117" spans="1:11" ht="25.9" customHeight="1" x14ac:dyDescent="0.25">
      <c r="A117" s="3">
        <v>114</v>
      </c>
      <c r="B117" s="3" t="s">
        <v>8</v>
      </c>
      <c r="C117" s="4" t="s">
        <v>9</v>
      </c>
      <c r="D117" s="12">
        <v>46168</v>
      </c>
      <c r="E117" s="14">
        <f t="shared" si="1"/>
        <v>46533</v>
      </c>
      <c r="F117" s="22" t="s">
        <v>259</v>
      </c>
      <c r="G117" s="22"/>
      <c r="H117" s="3" t="s">
        <v>260</v>
      </c>
      <c r="I117" s="4" t="s">
        <v>28</v>
      </c>
      <c r="J117" s="4" t="s">
        <v>29</v>
      </c>
      <c r="K117" s="4" t="s">
        <v>30</v>
      </c>
    </row>
    <row r="118" spans="1:11" ht="25.9" customHeight="1" x14ac:dyDescent="0.25">
      <c r="A118" s="3">
        <v>115</v>
      </c>
      <c r="B118" s="3" t="s">
        <v>8</v>
      </c>
      <c r="C118" s="4" t="s">
        <v>9</v>
      </c>
      <c r="D118" s="12">
        <v>46168</v>
      </c>
      <c r="E118" s="14">
        <f t="shared" si="1"/>
        <v>46533</v>
      </c>
      <c r="F118" s="22" t="s">
        <v>261</v>
      </c>
      <c r="G118" s="22"/>
      <c r="H118" s="3" t="s">
        <v>262</v>
      </c>
      <c r="I118" s="4" t="s">
        <v>236</v>
      </c>
      <c r="J118" s="4" t="s">
        <v>237</v>
      </c>
      <c r="K118" s="4" t="s">
        <v>238</v>
      </c>
    </row>
    <row r="119" spans="1:11" ht="25.9" customHeight="1" x14ac:dyDescent="0.25">
      <c r="A119" s="3">
        <v>116</v>
      </c>
      <c r="B119" s="3" t="s">
        <v>8</v>
      </c>
      <c r="C119" s="4" t="s">
        <v>9</v>
      </c>
      <c r="D119" s="12">
        <v>46168</v>
      </c>
      <c r="E119" s="14">
        <f t="shared" si="1"/>
        <v>46533</v>
      </c>
      <c r="F119" s="22" t="s">
        <v>263</v>
      </c>
      <c r="G119" s="22"/>
      <c r="H119" s="3" t="s">
        <v>264</v>
      </c>
      <c r="I119" s="4" t="s">
        <v>236</v>
      </c>
      <c r="J119" s="4" t="s">
        <v>237</v>
      </c>
      <c r="K119" s="4" t="s">
        <v>238</v>
      </c>
    </row>
    <row r="120" spans="1:11" ht="25.9" customHeight="1" x14ac:dyDescent="0.25">
      <c r="A120" s="3">
        <v>117</v>
      </c>
      <c r="B120" s="3" t="s">
        <v>8</v>
      </c>
      <c r="C120" s="4" t="s">
        <v>9</v>
      </c>
      <c r="D120" s="12">
        <v>46168</v>
      </c>
      <c r="E120" s="14">
        <f t="shared" si="1"/>
        <v>46533</v>
      </c>
      <c r="F120" s="22" t="s">
        <v>265</v>
      </c>
      <c r="G120" s="22"/>
      <c r="H120" s="3" t="s">
        <v>266</v>
      </c>
      <c r="I120" s="4" t="s">
        <v>236</v>
      </c>
      <c r="J120" s="4" t="s">
        <v>237</v>
      </c>
      <c r="K120" s="4" t="s">
        <v>238</v>
      </c>
    </row>
    <row r="121" spans="1:11" ht="25.9" customHeight="1" x14ac:dyDescent="0.25">
      <c r="A121" s="3">
        <v>118</v>
      </c>
      <c r="B121" s="3" t="s">
        <v>8</v>
      </c>
      <c r="C121" s="4" t="s">
        <v>9</v>
      </c>
      <c r="D121" s="12">
        <v>46168</v>
      </c>
      <c r="E121" s="14">
        <f t="shared" si="1"/>
        <v>46533</v>
      </c>
      <c r="F121" s="22" t="s">
        <v>267</v>
      </c>
      <c r="G121" s="22"/>
      <c r="H121" s="3" t="s">
        <v>268</v>
      </c>
      <c r="I121" s="4" t="s">
        <v>236</v>
      </c>
      <c r="J121" s="4" t="s">
        <v>237</v>
      </c>
      <c r="K121" s="4" t="s">
        <v>238</v>
      </c>
    </row>
    <row r="122" spans="1:11" ht="25.9" customHeight="1" x14ac:dyDescent="0.25">
      <c r="A122" s="3">
        <v>119</v>
      </c>
      <c r="B122" s="3" t="s">
        <v>8</v>
      </c>
      <c r="C122" s="4" t="s">
        <v>9</v>
      </c>
      <c r="D122" s="12">
        <v>46168</v>
      </c>
      <c r="E122" s="14">
        <f t="shared" si="1"/>
        <v>46533</v>
      </c>
      <c r="F122" s="22" t="s">
        <v>269</v>
      </c>
      <c r="G122" s="22"/>
      <c r="H122" s="3" t="s">
        <v>270</v>
      </c>
      <c r="I122" s="4" t="s">
        <v>236</v>
      </c>
      <c r="J122" s="4" t="s">
        <v>237</v>
      </c>
      <c r="K122" s="4" t="s">
        <v>238</v>
      </c>
    </row>
    <row r="123" spans="1:11" ht="25.9" customHeight="1" x14ac:dyDescent="0.25">
      <c r="A123" s="3">
        <v>120</v>
      </c>
      <c r="B123" s="3" t="s">
        <v>8</v>
      </c>
      <c r="C123" s="4" t="s">
        <v>9</v>
      </c>
      <c r="D123" s="12">
        <v>46168</v>
      </c>
      <c r="E123" s="14">
        <f t="shared" si="1"/>
        <v>46533</v>
      </c>
      <c r="F123" s="22" t="s">
        <v>271</v>
      </c>
      <c r="G123" s="22"/>
      <c r="H123" s="3" t="s">
        <v>272</v>
      </c>
      <c r="I123" s="4" t="s">
        <v>23</v>
      </c>
      <c r="J123" s="4" t="s">
        <v>24</v>
      </c>
      <c r="K123" s="4" t="s">
        <v>25</v>
      </c>
    </row>
    <row r="124" spans="1:11" ht="25.9" customHeight="1" x14ac:dyDescent="0.25">
      <c r="A124" s="3">
        <v>121</v>
      </c>
      <c r="B124" s="3" t="s">
        <v>8</v>
      </c>
      <c r="C124" s="4" t="s">
        <v>9</v>
      </c>
      <c r="D124" s="12">
        <v>46168</v>
      </c>
      <c r="E124" s="14">
        <f t="shared" si="1"/>
        <v>46533</v>
      </c>
      <c r="F124" s="22" t="s">
        <v>273</v>
      </c>
      <c r="G124" s="22"/>
      <c r="H124" s="3" t="s">
        <v>274</v>
      </c>
      <c r="I124" s="4" t="s">
        <v>236</v>
      </c>
      <c r="J124" s="4" t="s">
        <v>237</v>
      </c>
      <c r="K124" s="4" t="s">
        <v>238</v>
      </c>
    </row>
    <row r="125" spans="1:11" ht="25.9" customHeight="1" x14ac:dyDescent="0.25">
      <c r="A125" s="3">
        <v>122</v>
      </c>
      <c r="B125" s="3" t="s">
        <v>8</v>
      </c>
      <c r="C125" s="4" t="s">
        <v>9</v>
      </c>
      <c r="D125" s="12">
        <v>46168</v>
      </c>
      <c r="E125" s="14">
        <f t="shared" si="1"/>
        <v>46533</v>
      </c>
      <c r="F125" s="22" t="s">
        <v>275</v>
      </c>
      <c r="G125" s="22"/>
      <c r="H125" s="3" t="s">
        <v>276</v>
      </c>
      <c r="I125" s="4" t="s">
        <v>236</v>
      </c>
      <c r="J125" s="4" t="s">
        <v>237</v>
      </c>
      <c r="K125" s="4" t="s">
        <v>238</v>
      </c>
    </row>
    <row r="126" spans="1:11" ht="25.9" customHeight="1" x14ac:dyDescent="0.25">
      <c r="A126" s="3">
        <v>123</v>
      </c>
      <c r="B126" s="3" t="s">
        <v>8</v>
      </c>
      <c r="C126" s="4" t="s">
        <v>9</v>
      </c>
      <c r="D126" s="12">
        <v>46168</v>
      </c>
      <c r="E126" s="14">
        <f t="shared" si="1"/>
        <v>46533</v>
      </c>
      <c r="F126" s="22" t="s">
        <v>277</v>
      </c>
      <c r="G126" s="22"/>
      <c r="H126" s="3" t="s">
        <v>278</v>
      </c>
      <c r="I126" s="4" t="s">
        <v>28</v>
      </c>
      <c r="J126" s="4" t="s">
        <v>29</v>
      </c>
      <c r="K126" s="4" t="s">
        <v>30</v>
      </c>
    </row>
    <row r="127" spans="1:11" ht="25.9" customHeight="1" x14ac:dyDescent="0.25">
      <c r="A127" s="3">
        <v>124</v>
      </c>
      <c r="B127" s="3" t="s">
        <v>8</v>
      </c>
      <c r="C127" s="4" t="s">
        <v>9</v>
      </c>
      <c r="D127" s="12">
        <v>46168</v>
      </c>
      <c r="E127" s="14">
        <f t="shared" si="1"/>
        <v>46533</v>
      </c>
      <c r="F127" s="22" t="s">
        <v>279</v>
      </c>
      <c r="G127" s="22"/>
      <c r="H127" s="3" t="s">
        <v>280</v>
      </c>
      <c r="I127" s="4" t="s">
        <v>236</v>
      </c>
      <c r="J127" s="4" t="s">
        <v>237</v>
      </c>
      <c r="K127" s="4" t="s">
        <v>238</v>
      </c>
    </row>
    <row r="128" spans="1:11" ht="25.9" customHeight="1" x14ac:dyDescent="0.25">
      <c r="A128" s="3">
        <v>125</v>
      </c>
      <c r="B128" s="3" t="s">
        <v>8</v>
      </c>
      <c r="C128" s="4" t="s">
        <v>9</v>
      </c>
      <c r="D128" s="12">
        <v>46168</v>
      </c>
      <c r="E128" s="14">
        <f t="shared" si="1"/>
        <v>46533</v>
      </c>
      <c r="F128" s="22" t="s">
        <v>281</v>
      </c>
      <c r="G128" s="22"/>
      <c r="H128" s="3" t="s">
        <v>282</v>
      </c>
      <c r="I128" s="4" t="s">
        <v>23</v>
      </c>
      <c r="J128" s="4" t="s">
        <v>24</v>
      </c>
      <c r="K128" s="4" t="s">
        <v>25</v>
      </c>
    </row>
    <row r="129" spans="1:11" ht="25.9" customHeight="1" x14ac:dyDescent="0.25">
      <c r="A129" s="3">
        <v>126</v>
      </c>
      <c r="B129" s="3" t="s">
        <v>8</v>
      </c>
      <c r="C129" s="4" t="s">
        <v>9</v>
      </c>
      <c r="D129" s="12">
        <v>46168</v>
      </c>
      <c r="E129" s="14">
        <f t="shared" si="1"/>
        <v>46533</v>
      </c>
      <c r="F129" s="22" t="s">
        <v>283</v>
      </c>
      <c r="G129" s="22"/>
      <c r="H129" s="3" t="s">
        <v>284</v>
      </c>
      <c r="I129" s="4" t="s">
        <v>236</v>
      </c>
      <c r="J129" s="4" t="s">
        <v>237</v>
      </c>
      <c r="K129" s="4" t="s">
        <v>238</v>
      </c>
    </row>
    <row r="130" spans="1:11" ht="25.9" customHeight="1" x14ac:dyDescent="0.25">
      <c r="A130" s="3">
        <v>127</v>
      </c>
      <c r="B130" s="3" t="s">
        <v>8</v>
      </c>
      <c r="C130" s="4" t="s">
        <v>9</v>
      </c>
      <c r="D130" s="12">
        <v>46168</v>
      </c>
      <c r="E130" s="14">
        <f t="shared" si="1"/>
        <v>46533</v>
      </c>
      <c r="F130" s="22" t="s">
        <v>285</v>
      </c>
      <c r="G130" s="22"/>
      <c r="H130" s="3" t="s">
        <v>286</v>
      </c>
      <c r="I130" s="4" t="s">
        <v>236</v>
      </c>
      <c r="J130" s="4" t="s">
        <v>237</v>
      </c>
      <c r="K130" s="4" t="s">
        <v>238</v>
      </c>
    </row>
    <row r="131" spans="1:11" ht="25.9" customHeight="1" x14ac:dyDescent="0.25">
      <c r="A131" s="3">
        <v>128</v>
      </c>
      <c r="B131" s="3" t="s">
        <v>8</v>
      </c>
      <c r="C131" s="4" t="s">
        <v>9</v>
      </c>
      <c r="D131" s="12">
        <v>46168</v>
      </c>
      <c r="E131" s="14">
        <f t="shared" si="1"/>
        <v>46533</v>
      </c>
      <c r="F131" s="22" t="s">
        <v>287</v>
      </c>
      <c r="G131" s="22"/>
      <c r="H131" s="3" t="s">
        <v>288</v>
      </c>
      <c r="I131" s="4" t="s">
        <v>236</v>
      </c>
      <c r="J131" s="4" t="s">
        <v>237</v>
      </c>
      <c r="K131" s="4" t="s">
        <v>238</v>
      </c>
    </row>
    <row r="132" spans="1:11" ht="25.9" customHeight="1" x14ac:dyDescent="0.25">
      <c r="A132" s="3">
        <v>129</v>
      </c>
      <c r="B132" s="3" t="s">
        <v>8</v>
      </c>
      <c r="C132" s="4" t="s">
        <v>9</v>
      </c>
      <c r="D132" s="12">
        <v>46168</v>
      </c>
      <c r="E132" s="14">
        <f t="shared" si="1"/>
        <v>46533</v>
      </c>
      <c r="F132" s="22" t="s">
        <v>289</v>
      </c>
      <c r="G132" s="22"/>
      <c r="H132" s="3" t="s">
        <v>290</v>
      </c>
      <c r="I132" s="4" t="s">
        <v>127</v>
      </c>
      <c r="J132" s="4" t="s">
        <v>128</v>
      </c>
      <c r="K132" s="4" t="s">
        <v>129</v>
      </c>
    </row>
    <row r="133" spans="1:11" ht="25.9" customHeight="1" x14ac:dyDescent="0.25">
      <c r="A133" s="3">
        <v>130</v>
      </c>
      <c r="B133" s="3" t="s">
        <v>8</v>
      </c>
      <c r="C133" s="4" t="s">
        <v>9</v>
      </c>
      <c r="D133" s="12">
        <v>46168</v>
      </c>
      <c r="E133" s="14">
        <f t="shared" ref="E133:E152" si="2">D133+365</f>
        <v>46533</v>
      </c>
      <c r="F133" s="22" t="s">
        <v>291</v>
      </c>
      <c r="G133" s="22"/>
      <c r="H133" s="3" t="s">
        <v>292</v>
      </c>
      <c r="I133" s="4" t="s">
        <v>28</v>
      </c>
      <c r="J133" s="4" t="s">
        <v>29</v>
      </c>
      <c r="K133" s="4" t="s">
        <v>30</v>
      </c>
    </row>
    <row r="134" spans="1:11" ht="25.9" customHeight="1" x14ac:dyDescent="0.25">
      <c r="A134" s="3">
        <v>131</v>
      </c>
      <c r="B134" s="3" t="s">
        <v>8</v>
      </c>
      <c r="C134" s="4" t="s">
        <v>9</v>
      </c>
      <c r="D134" s="12">
        <v>46168</v>
      </c>
      <c r="E134" s="14">
        <f t="shared" si="2"/>
        <v>46533</v>
      </c>
      <c r="F134" s="22" t="s">
        <v>293</v>
      </c>
      <c r="G134" s="22"/>
      <c r="H134" s="3" t="s">
        <v>294</v>
      </c>
      <c r="I134" s="4" t="s">
        <v>28</v>
      </c>
      <c r="J134" s="4" t="s">
        <v>29</v>
      </c>
      <c r="K134" s="4" t="s">
        <v>30</v>
      </c>
    </row>
    <row r="135" spans="1:11" ht="25.9" customHeight="1" x14ac:dyDescent="0.25">
      <c r="A135" s="3">
        <v>132</v>
      </c>
      <c r="B135" s="3" t="s">
        <v>8</v>
      </c>
      <c r="C135" s="4" t="s">
        <v>9</v>
      </c>
      <c r="D135" s="12">
        <v>46168</v>
      </c>
      <c r="E135" s="14">
        <f t="shared" si="2"/>
        <v>46533</v>
      </c>
      <c r="F135" s="22" t="s">
        <v>295</v>
      </c>
      <c r="G135" s="22"/>
      <c r="H135" s="3" t="s">
        <v>296</v>
      </c>
      <c r="I135" s="4" t="s">
        <v>28</v>
      </c>
      <c r="J135" s="4" t="s">
        <v>29</v>
      </c>
      <c r="K135" s="4" t="s">
        <v>30</v>
      </c>
    </row>
    <row r="136" spans="1:11" ht="25.9" customHeight="1" x14ac:dyDescent="0.25">
      <c r="A136" s="3">
        <v>133</v>
      </c>
      <c r="B136" s="3" t="s">
        <v>8</v>
      </c>
      <c r="C136" s="4" t="s">
        <v>9</v>
      </c>
      <c r="D136" s="12">
        <v>46168</v>
      </c>
      <c r="E136" s="14">
        <f t="shared" si="2"/>
        <v>46533</v>
      </c>
      <c r="F136" s="22" t="s">
        <v>297</v>
      </c>
      <c r="G136" s="22"/>
      <c r="H136" s="3" t="s">
        <v>298</v>
      </c>
      <c r="I136" s="4" t="s">
        <v>28</v>
      </c>
      <c r="J136" s="4" t="s">
        <v>29</v>
      </c>
      <c r="K136" s="4" t="s">
        <v>30</v>
      </c>
    </row>
    <row r="137" spans="1:11" ht="25.9" customHeight="1" x14ac:dyDescent="0.25">
      <c r="A137" s="3">
        <v>134</v>
      </c>
      <c r="B137" s="3" t="s">
        <v>8</v>
      </c>
      <c r="C137" s="4" t="s">
        <v>9</v>
      </c>
      <c r="D137" s="12">
        <v>46168</v>
      </c>
      <c r="E137" s="14">
        <f t="shared" si="2"/>
        <v>46533</v>
      </c>
      <c r="F137" s="22" t="s">
        <v>299</v>
      </c>
      <c r="G137" s="22"/>
      <c r="H137" s="3" t="s">
        <v>300</v>
      </c>
      <c r="I137" s="4" t="s">
        <v>28</v>
      </c>
      <c r="J137" s="4" t="s">
        <v>29</v>
      </c>
      <c r="K137" s="4" t="s">
        <v>30</v>
      </c>
    </row>
    <row r="138" spans="1:11" ht="25.9" customHeight="1" x14ac:dyDescent="0.25">
      <c r="A138" s="3">
        <v>135</v>
      </c>
      <c r="B138" s="3" t="s">
        <v>8</v>
      </c>
      <c r="C138" s="4" t="s">
        <v>9</v>
      </c>
      <c r="D138" s="12">
        <v>46168</v>
      </c>
      <c r="E138" s="14">
        <f t="shared" si="2"/>
        <v>46533</v>
      </c>
      <c r="F138" s="22" t="s">
        <v>301</v>
      </c>
      <c r="G138" s="22"/>
      <c r="H138" s="3" t="s">
        <v>302</v>
      </c>
      <c r="I138" s="4" t="s">
        <v>28</v>
      </c>
      <c r="J138" s="4" t="s">
        <v>29</v>
      </c>
      <c r="K138" s="4" t="s">
        <v>30</v>
      </c>
    </row>
    <row r="139" spans="1:11" ht="25.9" customHeight="1" x14ac:dyDescent="0.25">
      <c r="A139" s="3">
        <v>136</v>
      </c>
      <c r="B139" s="3" t="s">
        <v>8</v>
      </c>
      <c r="C139" s="4" t="s">
        <v>9</v>
      </c>
      <c r="D139" s="12">
        <v>46168</v>
      </c>
      <c r="E139" s="14">
        <f t="shared" si="2"/>
        <v>46533</v>
      </c>
      <c r="F139" s="22" t="s">
        <v>303</v>
      </c>
      <c r="G139" s="22"/>
      <c r="H139" s="3" t="s">
        <v>304</v>
      </c>
      <c r="I139" s="4" t="s">
        <v>28</v>
      </c>
      <c r="J139" s="4" t="s">
        <v>29</v>
      </c>
      <c r="K139" s="4" t="s">
        <v>30</v>
      </c>
    </row>
    <row r="140" spans="1:11" ht="25.9" customHeight="1" x14ac:dyDescent="0.25">
      <c r="A140" s="3">
        <v>137</v>
      </c>
      <c r="B140" s="3" t="s">
        <v>8</v>
      </c>
      <c r="C140" s="4" t="s">
        <v>9</v>
      </c>
      <c r="D140" s="12">
        <v>46168</v>
      </c>
      <c r="E140" s="14">
        <f t="shared" si="2"/>
        <v>46533</v>
      </c>
      <c r="F140" s="22" t="s">
        <v>305</v>
      </c>
      <c r="G140" s="22"/>
      <c r="H140" s="3" t="s">
        <v>306</v>
      </c>
      <c r="I140" s="4" t="s">
        <v>28</v>
      </c>
      <c r="J140" s="4" t="s">
        <v>29</v>
      </c>
      <c r="K140" s="4" t="s">
        <v>30</v>
      </c>
    </row>
    <row r="141" spans="1:11" ht="25.9" customHeight="1" x14ac:dyDescent="0.25">
      <c r="A141" s="3">
        <v>138</v>
      </c>
      <c r="B141" s="3" t="s">
        <v>8</v>
      </c>
      <c r="C141" s="4" t="s">
        <v>9</v>
      </c>
      <c r="D141" s="12">
        <v>46168</v>
      </c>
      <c r="E141" s="14">
        <f t="shared" si="2"/>
        <v>46533</v>
      </c>
      <c r="F141" s="22" t="s">
        <v>307</v>
      </c>
      <c r="G141" s="22"/>
      <c r="H141" s="3" t="s">
        <v>308</v>
      </c>
      <c r="I141" s="4" t="s">
        <v>28</v>
      </c>
      <c r="J141" s="4" t="s">
        <v>29</v>
      </c>
      <c r="K141" s="4" t="s">
        <v>30</v>
      </c>
    </row>
    <row r="142" spans="1:11" ht="25.9" customHeight="1" x14ac:dyDescent="0.25">
      <c r="A142" s="3">
        <v>139</v>
      </c>
      <c r="B142" s="3" t="s">
        <v>8</v>
      </c>
      <c r="C142" s="4" t="s">
        <v>9</v>
      </c>
      <c r="D142" s="12">
        <v>46168</v>
      </c>
      <c r="E142" s="14">
        <f t="shared" si="2"/>
        <v>46533</v>
      </c>
      <c r="F142" s="22" t="s">
        <v>309</v>
      </c>
      <c r="G142" s="22"/>
      <c r="H142" s="3" t="s">
        <v>310</v>
      </c>
      <c r="I142" s="4" t="s">
        <v>28</v>
      </c>
      <c r="J142" s="4" t="s">
        <v>29</v>
      </c>
      <c r="K142" s="4" t="s">
        <v>30</v>
      </c>
    </row>
    <row r="143" spans="1:11" ht="25.9" customHeight="1" x14ac:dyDescent="0.25">
      <c r="A143" s="3">
        <v>140</v>
      </c>
      <c r="B143" s="3" t="s">
        <v>8</v>
      </c>
      <c r="C143" s="4" t="s">
        <v>9</v>
      </c>
      <c r="D143" s="12">
        <v>46168</v>
      </c>
      <c r="E143" s="14">
        <f t="shared" si="2"/>
        <v>46533</v>
      </c>
      <c r="F143" s="22" t="s">
        <v>311</v>
      </c>
      <c r="G143" s="22"/>
      <c r="H143" s="3" t="s">
        <v>312</v>
      </c>
      <c r="I143" s="4" t="s">
        <v>28</v>
      </c>
      <c r="J143" s="4" t="s">
        <v>29</v>
      </c>
      <c r="K143" s="4" t="s">
        <v>30</v>
      </c>
    </row>
    <row r="144" spans="1:11" ht="25.9" customHeight="1" x14ac:dyDescent="0.25">
      <c r="A144" s="3">
        <v>141</v>
      </c>
      <c r="B144" s="3" t="s">
        <v>8</v>
      </c>
      <c r="C144" s="4" t="s">
        <v>9</v>
      </c>
      <c r="D144" s="12">
        <v>46168</v>
      </c>
      <c r="E144" s="14">
        <f t="shared" si="2"/>
        <v>46533</v>
      </c>
      <c r="F144" s="22" t="s">
        <v>313</v>
      </c>
      <c r="G144" s="22"/>
      <c r="H144" s="3" t="s">
        <v>314</v>
      </c>
      <c r="I144" s="4" t="s">
        <v>28</v>
      </c>
      <c r="J144" s="4" t="s">
        <v>29</v>
      </c>
      <c r="K144" s="4" t="s">
        <v>30</v>
      </c>
    </row>
    <row r="145" spans="1:11" ht="25.9" customHeight="1" x14ac:dyDescent="0.25">
      <c r="A145" s="3">
        <v>142</v>
      </c>
      <c r="B145" s="3" t="s">
        <v>8</v>
      </c>
      <c r="C145" s="4" t="s">
        <v>9</v>
      </c>
      <c r="D145" s="12">
        <v>46168</v>
      </c>
      <c r="E145" s="14">
        <f t="shared" si="2"/>
        <v>46533</v>
      </c>
      <c r="F145" s="22" t="s">
        <v>315</v>
      </c>
      <c r="G145" s="22"/>
      <c r="H145" s="3" t="s">
        <v>316</v>
      </c>
      <c r="I145" s="4" t="s">
        <v>28</v>
      </c>
      <c r="J145" s="4" t="s">
        <v>29</v>
      </c>
      <c r="K145" s="4" t="s">
        <v>30</v>
      </c>
    </row>
    <row r="146" spans="1:11" ht="25.9" customHeight="1" x14ac:dyDescent="0.25">
      <c r="A146" s="3">
        <v>143</v>
      </c>
      <c r="B146" s="3" t="s">
        <v>8</v>
      </c>
      <c r="C146" s="4" t="s">
        <v>9</v>
      </c>
      <c r="D146" s="12">
        <v>46168</v>
      </c>
      <c r="E146" s="14">
        <f t="shared" si="2"/>
        <v>46533</v>
      </c>
      <c r="F146" s="22" t="s">
        <v>317</v>
      </c>
      <c r="G146" s="22"/>
      <c r="H146" s="3" t="s">
        <v>318</v>
      </c>
      <c r="I146" s="4" t="s">
        <v>28</v>
      </c>
      <c r="J146" s="4" t="s">
        <v>29</v>
      </c>
      <c r="K146" s="4" t="s">
        <v>30</v>
      </c>
    </row>
    <row r="147" spans="1:11" ht="25.9" customHeight="1" x14ac:dyDescent="0.25">
      <c r="A147" s="3">
        <v>144</v>
      </c>
      <c r="B147" s="3" t="s">
        <v>8</v>
      </c>
      <c r="C147" s="4" t="s">
        <v>9</v>
      </c>
      <c r="D147" s="12">
        <v>46168</v>
      </c>
      <c r="E147" s="14">
        <f t="shared" si="2"/>
        <v>46533</v>
      </c>
      <c r="F147" s="22" t="s">
        <v>319</v>
      </c>
      <c r="G147" s="22"/>
      <c r="H147" s="3" t="s">
        <v>320</v>
      </c>
      <c r="I147" s="4" t="s">
        <v>28</v>
      </c>
      <c r="J147" s="4" t="s">
        <v>29</v>
      </c>
      <c r="K147" s="4" t="s">
        <v>30</v>
      </c>
    </row>
    <row r="148" spans="1:11" ht="25.9" customHeight="1" x14ac:dyDescent="0.25">
      <c r="A148" s="3">
        <v>145</v>
      </c>
      <c r="B148" s="3" t="s">
        <v>8</v>
      </c>
      <c r="C148" s="4" t="s">
        <v>9</v>
      </c>
      <c r="D148" s="12">
        <v>46168</v>
      </c>
      <c r="E148" s="14">
        <f t="shared" si="2"/>
        <v>46533</v>
      </c>
      <c r="F148" s="22" t="s">
        <v>321</v>
      </c>
      <c r="G148" s="22"/>
      <c r="H148" s="3" t="s">
        <v>322</v>
      </c>
      <c r="I148" s="4" t="s">
        <v>23</v>
      </c>
      <c r="J148" s="4" t="s">
        <v>24</v>
      </c>
      <c r="K148" s="4" t="s">
        <v>25</v>
      </c>
    </row>
    <row r="149" spans="1:11" ht="25.9" customHeight="1" x14ac:dyDescent="0.25">
      <c r="A149" s="3">
        <v>146</v>
      </c>
      <c r="B149" s="3" t="s">
        <v>8</v>
      </c>
      <c r="C149" s="4" t="s">
        <v>9</v>
      </c>
      <c r="D149" s="12">
        <v>46168</v>
      </c>
      <c r="E149" s="14">
        <f t="shared" si="2"/>
        <v>46533</v>
      </c>
      <c r="F149" s="22" t="s">
        <v>323</v>
      </c>
      <c r="G149" s="22"/>
      <c r="H149" s="3" t="s">
        <v>324</v>
      </c>
      <c r="I149" s="4" t="s">
        <v>23</v>
      </c>
      <c r="J149" s="4" t="s">
        <v>24</v>
      </c>
      <c r="K149" s="4" t="s">
        <v>25</v>
      </c>
    </row>
    <row r="150" spans="1:11" ht="25.9" customHeight="1" x14ac:dyDescent="0.25">
      <c r="A150" s="3">
        <v>147</v>
      </c>
      <c r="B150" s="3" t="s">
        <v>8</v>
      </c>
      <c r="C150" s="4" t="s">
        <v>9</v>
      </c>
      <c r="D150" s="12">
        <v>46168</v>
      </c>
      <c r="E150" s="14">
        <f t="shared" si="2"/>
        <v>46533</v>
      </c>
      <c r="F150" s="22" t="s">
        <v>325</v>
      </c>
      <c r="G150" s="22"/>
      <c r="H150" s="3" t="s">
        <v>326</v>
      </c>
      <c r="I150" s="4" t="s">
        <v>23</v>
      </c>
      <c r="J150" s="4" t="s">
        <v>24</v>
      </c>
      <c r="K150" s="4" t="s">
        <v>25</v>
      </c>
    </row>
    <row r="151" spans="1:11" ht="25.9" customHeight="1" x14ac:dyDescent="0.25">
      <c r="A151" s="3">
        <v>148</v>
      </c>
      <c r="B151" s="3" t="s">
        <v>8</v>
      </c>
      <c r="C151" s="4" t="s">
        <v>9</v>
      </c>
      <c r="D151" s="12">
        <v>46168</v>
      </c>
      <c r="E151" s="14">
        <f t="shared" si="2"/>
        <v>46533</v>
      </c>
      <c r="F151" s="22" t="s">
        <v>327</v>
      </c>
      <c r="G151" s="22"/>
      <c r="H151" s="3" t="s">
        <v>328</v>
      </c>
      <c r="I151" s="4" t="s">
        <v>23</v>
      </c>
      <c r="J151" s="4" t="s">
        <v>24</v>
      </c>
      <c r="K151" s="4" t="s">
        <v>25</v>
      </c>
    </row>
    <row r="152" spans="1:11" ht="25.9" customHeight="1" x14ac:dyDescent="0.25">
      <c r="A152" s="3">
        <v>149</v>
      </c>
      <c r="B152" s="3" t="s">
        <v>8</v>
      </c>
      <c r="C152" s="4" t="s">
        <v>9</v>
      </c>
      <c r="D152" s="12">
        <v>46168</v>
      </c>
      <c r="E152" s="14">
        <f t="shared" si="2"/>
        <v>46533</v>
      </c>
      <c r="F152" s="22" t="s">
        <v>329</v>
      </c>
      <c r="G152" s="22"/>
      <c r="H152" s="3" t="s">
        <v>330</v>
      </c>
      <c r="I152" s="4" t="s">
        <v>23</v>
      </c>
      <c r="J152" s="4" t="s">
        <v>24</v>
      </c>
      <c r="K152" s="4" t="s">
        <v>25</v>
      </c>
    </row>
  </sheetData>
  <mergeCells count="1">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E056-0FBD-4ED8-B616-F3D25092F719}">
  <dimension ref="P11:P14"/>
  <sheetViews>
    <sheetView topLeftCell="B7" workbookViewId="0">
      <selection activeCell="Q23" sqref="Q23"/>
    </sheetView>
  </sheetViews>
  <sheetFormatPr defaultRowHeight="15" x14ac:dyDescent="0.25"/>
  <cols>
    <col min="14" max="14" width="4.42578125" customWidth="1"/>
    <col min="15" max="15" width="1.85546875" customWidth="1"/>
  </cols>
  <sheetData>
    <row r="11" spans="16:16" x14ac:dyDescent="0.25">
      <c r="P11" t="s">
        <v>462</v>
      </c>
    </row>
    <row r="12" spans="16:16" x14ac:dyDescent="0.25">
      <c r="P12" t="s">
        <v>465</v>
      </c>
    </row>
    <row r="13" spans="16:16" x14ac:dyDescent="0.25">
      <c r="P13" t="s">
        <v>463</v>
      </c>
    </row>
    <row r="14" spans="16:16" x14ac:dyDescent="0.25">
      <c r="P14" t="s">
        <v>464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A506-8FD9-4503-945B-6CD65D992399}">
  <dimension ref="A2"/>
  <sheetViews>
    <sheetView workbookViewId="0">
      <selection activeCell="A12" sqref="A12"/>
    </sheetView>
  </sheetViews>
  <sheetFormatPr defaultRowHeight="15" x14ac:dyDescent="0.25"/>
  <cols>
    <col min="1" max="1" width="153.7109375" customWidth="1"/>
  </cols>
  <sheetData>
    <row r="2" spans="1:1" s="9" customFormat="1" ht="75" x14ac:dyDescent="0.25">
      <c r="A2" s="8"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Request BH (Kỹ thuật)</vt:lpstr>
      <vt:lpstr>HỒ SƠ BH_XD&amp;ME_BOQ PHÁT HÀNH</vt:lpstr>
      <vt:lpstr>DATA QUY ĐỔI BH</vt:lpstr>
      <vt:lpstr>Ho Co Ban Hành XD&amp;ME. Org</vt:lpstr>
      <vt:lpstr>Quy trình</vt:lpstr>
      <vt:lpstr>Các bước triển khai 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Hoàng Tuấn (SSC-PP-FM-MN)</cp:lastModifiedBy>
  <dcterms:created xsi:type="dcterms:W3CDTF">2026-08-27T02:07:19Z</dcterms:created>
  <dcterms:modified xsi:type="dcterms:W3CDTF">2026-10-05T08:23:24Z</dcterms:modified>
</cp:coreProperties>
</file>